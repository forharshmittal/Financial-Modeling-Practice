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2DD3F95-656B-4AFD-8C09-0170FE135A48}" xr6:coauthVersionLast="47" xr6:coauthVersionMax="47" xr10:uidLastSave="{00000000-0000-0000-0000-000000000000}"/>
  <bookViews>
    <workbookView xWindow="-120" yWindow="-120" windowWidth="20730" windowHeight="11760" xr2:uid="{628A2440-FD4C-4C6B-80F7-02E9C7A6235D}"/>
  </bookViews>
  <sheets>
    <sheet name="Comps_Val" sheetId="1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K9" i="1"/>
  <c r="L9" i="1"/>
  <c r="J9" i="1"/>
  <c r="G10" i="1"/>
  <c r="G11" i="1"/>
  <c r="G12" i="1"/>
  <c r="G13" i="1"/>
  <c r="G14" i="1"/>
  <c r="G15" i="1"/>
  <c r="G16" i="1"/>
  <c r="G17" i="1"/>
  <c r="G18" i="1"/>
  <c r="G9" i="1"/>
  <c r="I4" i="2"/>
  <c r="I5" i="2"/>
  <c r="I6" i="2"/>
  <c r="I7" i="2"/>
  <c r="I8" i="2"/>
  <c r="I9" i="2"/>
  <c r="I10" i="2"/>
  <c r="I11" i="2"/>
  <c r="I12" i="2"/>
  <c r="I3" i="2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E9" i="1"/>
  <c r="D9" i="1"/>
  <c r="H9" i="1" s="1"/>
  <c r="B18" i="1"/>
  <c r="B10" i="1"/>
  <c r="B11" i="1"/>
  <c r="B12" i="1"/>
  <c r="B13" i="1"/>
  <c r="B14" i="1"/>
  <c r="B15" i="1"/>
  <c r="B16" i="1"/>
  <c r="B17" i="1"/>
  <c r="B9" i="1"/>
  <c r="F4" i="2"/>
  <c r="J4" i="2" s="1"/>
  <c r="F5" i="2"/>
  <c r="J5" i="2" s="1"/>
  <c r="F6" i="2"/>
  <c r="J6" i="2" s="1"/>
  <c r="F7" i="2"/>
  <c r="J7" i="2" s="1"/>
  <c r="F8" i="2"/>
  <c r="J8" i="2" s="1"/>
  <c r="F9" i="2"/>
  <c r="J9" i="2" s="1"/>
  <c r="F10" i="2"/>
  <c r="J10" i="2" s="1"/>
  <c r="F11" i="2"/>
  <c r="J11" i="2" s="1"/>
  <c r="F12" i="2"/>
  <c r="J12" i="2" s="1"/>
  <c r="F20" i="2"/>
  <c r="J20" i="2" s="1"/>
  <c r="F21" i="2"/>
  <c r="J21" i="2" s="1"/>
  <c r="F22" i="2"/>
  <c r="J22" i="2" s="1"/>
  <c r="F23" i="2"/>
  <c r="J23" i="2" s="1"/>
  <c r="F24" i="2"/>
  <c r="J24" i="2" s="1"/>
  <c r="F25" i="2"/>
  <c r="J25" i="2" s="1"/>
  <c r="F26" i="2"/>
  <c r="J26" i="2" s="1"/>
  <c r="F27" i="2"/>
  <c r="J27" i="2" s="1"/>
  <c r="F28" i="2"/>
  <c r="J28" i="2" s="1"/>
  <c r="F29" i="2"/>
  <c r="J29" i="2" s="1"/>
  <c r="F30" i="2"/>
  <c r="J30" i="2" s="1"/>
  <c r="F31" i="2"/>
  <c r="J31" i="2" s="1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3" i="2"/>
  <c r="J3" i="2" s="1"/>
  <c r="P18" i="1" l="1"/>
  <c r="P12" i="1"/>
  <c r="P17" i="1"/>
  <c r="P9" i="1"/>
  <c r="P14" i="1"/>
  <c r="P10" i="1"/>
  <c r="P16" i="1"/>
  <c r="P13" i="1"/>
  <c r="P15" i="1"/>
  <c r="P11" i="1"/>
  <c r="O30" i="1"/>
  <c r="P30" i="1"/>
  <c r="N30" i="1"/>
  <c r="N32" i="1"/>
  <c r="O32" i="1"/>
  <c r="P32" i="1"/>
  <c r="N9" i="1"/>
  <c r="O9" i="1"/>
  <c r="H10" i="1"/>
  <c r="H11" i="1"/>
  <c r="H18" i="1"/>
  <c r="H13" i="1"/>
  <c r="H12" i="1"/>
  <c r="H14" i="1"/>
  <c r="H15" i="1"/>
  <c r="H17" i="1"/>
  <c r="H16" i="1"/>
  <c r="P22" i="1" l="1"/>
  <c r="P21" i="1"/>
  <c r="P23" i="1"/>
  <c r="P31" i="1" s="1"/>
  <c r="P33" i="1" s="1"/>
  <c r="P35" i="1" s="1"/>
  <c r="P24" i="1"/>
  <c r="P20" i="1"/>
  <c r="P25" i="1"/>
  <c r="N10" i="1"/>
  <c r="O10" i="1"/>
  <c r="N11" i="1"/>
  <c r="O11" i="1"/>
  <c r="N18" i="1"/>
  <c r="O18" i="1"/>
  <c r="N13" i="1"/>
  <c r="O13" i="1"/>
  <c r="N12" i="1"/>
  <c r="O12" i="1"/>
  <c r="N14" i="1"/>
  <c r="O14" i="1"/>
  <c r="N15" i="1"/>
  <c r="O15" i="1"/>
  <c r="N17" i="1"/>
  <c r="O17" i="1"/>
  <c r="N16" i="1"/>
  <c r="O16" i="1"/>
  <c r="O25" i="1" l="1"/>
  <c r="O22" i="1"/>
  <c r="O20" i="1"/>
  <c r="N23" i="1"/>
  <c r="N29" i="1" s="1"/>
  <c r="N31" i="1" s="1"/>
  <c r="N33" i="1" s="1"/>
  <c r="N35" i="1" s="1"/>
  <c r="N25" i="1"/>
  <c r="N24" i="1"/>
  <c r="N21" i="1"/>
  <c r="N22" i="1"/>
  <c r="N20" i="1"/>
  <c r="O23" i="1"/>
  <c r="O29" i="1" s="1"/>
  <c r="O31" i="1" s="1"/>
  <c r="O33" i="1" s="1"/>
  <c r="O35" i="1" s="1"/>
  <c r="O21" i="1"/>
  <c r="O24" i="1"/>
</calcChain>
</file>

<file path=xl/sharedStrings.xml><?xml version="1.0" encoding="utf-8"?>
<sst xmlns="http://schemas.openxmlformats.org/spreadsheetml/2006/main" count="87" uniqueCount="81">
  <si>
    <t>Comparable Company Valuation</t>
  </si>
  <si>
    <t>Share Price</t>
  </si>
  <si>
    <t>Shares Outstanding</t>
  </si>
  <si>
    <t>Equity Value</t>
  </si>
  <si>
    <t>Net Debt</t>
  </si>
  <si>
    <t>Enterprise Value</t>
  </si>
  <si>
    <t>Market Data</t>
  </si>
  <si>
    <t>Revenue</t>
  </si>
  <si>
    <t>EBITDA</t>
  </si>
  <si>
    <t>Net Income</t>
  </si>
  <si>
    <t>Valuation</t>
  </si>
  <si>
    <t>Sun Pharma.Inds.</t>
  </si>
  <si>
    <t>Divi's Lab.</t>
  </si>
  <si>
    <t>Torrent Pharma.</t>
  </si>
  <si>
    <t>Cipla</t>
  </si>
  <si>
    <t>Dr Reddy's Labs</t>
  </si>
  <si>
    <t>Lupin</t>
  </si>
  <si>
    <t>Zydus Lifesci.</t>
  </si>
  <si>
    <t>Mankind Pharma</t>
  </si>
  <si>
    <t>Aurobindo Pharma</t>
  </si>
  <si>
    <t>Alkem Lab</t>
  </si>
  <si>
    <t>Biocon</t>
  </si>
  <si>
    <t>Glenmark Pharma.</t>
  </si>
  <si>
    <t>Abbott India</t>
  </si>
  <si>
    <t>Laurus Labs</t>
  </si>
  <si>
    <t>Glaxosmi. Pharma</t>
  </si>
  <si>
    <t>S.No.</t>
  </si>
  <si>
    <t>Name</t>
  </si>
  <si>
    <t>Ipca Labs.</t>
  </si>
  <si>
    <t>Ajanta Pharma</t>
  </si>
  <si>
    <t>J B Chemicals &amp;</t>
  </si>
  <si>
    <t>Gland Pharma</t>
  </si>
  <si>
    <t>Emcure Pharma</t>
  </si>
  <si>
    <t>Pfizer</t>
  </si>
  <si>
    <t>Wockhardt</t>
  </si>
  <si>
    <t>Astrazeneca Phar</t>
  </si>
  <si>
    <t>Piramal Pharma</t>
  </si>
  <si>
    <t>Sai Life</t>
  </si>
  <si>
    <t>ERIS Lifescience</t>
  </si>
  <si>
    <t>Neuland Labs.</t>
  </si>
  <si>
    <t>Acutaas Chemical</t>
  </si>
  <si>
    <t>Natco Pharma</t>
  </si>
  <si>
    <t>Alembic Pharma</t>
  </si>
  <si>
    <t>CMP Rs.</t>
  </si>
  <si>
    <t>No. Eq. Shares Cr.</t>
  </si>
  <si>
    <t>Debt Rs.Cr.</t>
  </si>
  <si>
    <t>Cash End Rs.Cr.</t>
  </si>
  <si>
    <t>Sales Rs.Cr.</t>
  </si>
  <si>
    <t>NP 12M Rs.Cr.</t>
  </si>
  <si>
    <t xml:space="preserve">Mar Cap Rs.Cr. </t>
  </si>
  <si>
    <t>Market Cap</t>
  </si>
  <si>
    <t>EV</t>
  </si>
  <si>
    <t>EBIDT Ann Rs.Cr.</t>
  </si>
  <si>
    <t>Company</t>
  </si>
  <si>
    <t xml:space="preserve"> Ticker</t>
  </si>
  <si>
    <t>SUNPHARMA</t>
  </si>
  <si>
    <t>DIVISLAB</t>
  </si>
  <si>
    <t>TORNTPHARM</t>
  </si>
  <si>
    <t>CIPLA</t>
  </si>
  <si>
    <t>DRREDDY</t>
  </si>
  <si>
    <t>LUPIN</t>
  </si>
  <si>
    <t>ZYDUSLIFE</t>
  </si>
  <si>
    <t>MANKIND</t>
  </si>
  <si>
    <t>AUROPHARMA</t>
  </si>
  <si>
    <t>ALKEM</t>
  </si>
  <si>
    <t>EV/Revenue</t>
  </si>
  <si>
    <t>EV/EBITDA</t>
  </si>
  <si>
    <t>P/E</t>
  </si>
  <si>
    <t>High</t>
  </si>
  <si>
    <t xml:space="preserve">75th Percentile </t>
  </si>
  <si>
    <t>Average</t>
  </si>
  <si>
    <t>Median</t>
  </si>
  <si>
    <t>25th Percentile</t>
  </si>
  <si>
    <t>Low</t>
  </si>
  <si>
    <t>Sun Pharma Comparable Valuation</t>
  </si>
  <si>
    <t>Implied Enterprise Value</t>
  </si>
  <si>
    <t>Implied Market Value</t>
  </si>
  <si>
    <t>Share Outstanding</t>
  </si>
  <si>
    <t>Implied Value per Share</t>
  </si>
  <si>
    <t>Source: Screen.in</t>
  </si>
  <si>
    <t>Amount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</si>
</sst>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#,##0.0;\(#,##0.0\)"/>
    <numFmt numFmtId="174" formatCode="0.0&quot;x&quot;"/>
    <numFmt numFmtId="177" formatCode="#,##0;\(#,##0\)"/>
    <numFmt numFmtId="178" formatCode="#,##0.0"/>
  </numFmts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/>
    <xf numFmtId="2" fontId="0" fillId="0" borderId="0" xfId="0" applyNumberFormat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3" fillId="0" borderId="0" xfId="0" applyFont="1" applyFill="1"/>
    <xf numFmtId="0" fontId="0" fillId="0" borderId="3" xfId="0" applyBorder="1"/>
    <xf numFmtId="0" fontId="2" fillId="0" borderId="3" xfId="0" applyFont="1" applyBorder="1"/>
    <xf numFmtId="170" fontId="0" fillId="0" borderId="3" xfId="0" applyNumberFormat="1" applyBorder="1" applyAlignment="1">
      <alignment horizontal="right"/>
    </xf>
    <xf numFmtId="174" fontId="0" fillId="0" borderId="3" xfId="0" applyNumberFormat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0" fillId="3" borderId="3" xfId="0" applyFill="1" applyBorder="1"/>
    <xf numFmtId="170" fontId="0" fillId="3" borderId="3" xfId="0" applyNumberFormat="1" applyFill="1" applyBorder="1" applyAlignment="1">
      <alignment horizontal="right"/>
    </xf>
    <xf numFmtId="174" fontId="0" fillId="3" borderId="3" xfId="0" applyNumberFormat="1" applyFill="1" applyBorder="1" applyAlignment="1">
      <alignment horizontal="right"/>
    </xf>
    <xf numFmtId="3" fontId="0" fillId="3" borderId="3" xfId="0" applyNumberFormat="1" applyFill="1" applyBorder="1" applyAlignment="1">
      <alignment horizontal="right"/>
    </xf>
    <xf numFmtId="3" fontId="0" fillId="0" borderId="3" xfId="0" applyNumberFormat="1" applyBorder="1" applyAlignment="1">
      <alignment horizontal="right"/>
    </xf>
    <xf numFmtId="177" fontId="0" fillId="3" borderId="3" xfId="0" applyNumberFormat="1" applyFill="1" applyBorder="1" applyAlignment="1">
      <alignment horizontal="right"/>
    </xf>
    <xf numFmtId="177" fontId="0" fillId="0" borderId="3" xfId="0" applyNumberFormat="1" applyBorder="1" applyAlignment="1">
      <alignment horizontal="right"/>
    </xf>
    <xf numFmtId="0" fontId="0" fillId="3" borderId="0" xfId="0" applyFill="1"/>
    <xf numFmtId="174" fontId="0" fillId="3" borderId="0" xfId="0" applyNumberFormat="1" applyFill="1"/>
    <xf numFmtId="0" fontId="2" fillId="3" borderId="0" xfId="0" applyFont="1" applyFill="1"/>
    <xf numFmtId="174" fontId="2" fillId="3" borderId="0" xfId="0" applyNumberFormat="1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right"/>
    </xf>
    <xf numFmtId="178" fontId="0" fillId="3" borderId="3" xfId="0" applyNumberFormat="1" applyFill="1" applyBorder="1" applyAlignment="1">
      <alignment horizontal="right"/>
    </xf>
    <xf numFmtId="178" fontId="0" fillId="0" borderId="3" xfId="0" applyNumberFormat="1" applyBorder="1" applyAlignment="1">
      <alignment horizontal="right"/>
    </xf>
    <xf numFmtId="178" fontId="0" fillId="0" borderId="0" xfId="0" applyNumberFormat="1"/>
    <xf numFmtId="177" fontId="0" fillId="0" borderId="3" xfId="0" applyNumberFormat="1" applyBorder="1"/>
    <xf numFmtId="0" fontId="2" fillId="3" borderId="4" xfId="0" applyFont="1" applyFill="1" applyBorder="1"/>
    <xf numFmtId="170" fontId="2" fillId="3" borderId="4" xfId="0" applyNumberFormat="1" applyFont="1" applyFill="1" applyBorder="1"/>
    <xf numFmtId="0" fontId="4" fillId="0" borderId="0" xfId="0" applyFont="1"/>
    <xf numFmtId="0" fontId="2" fillId="0" borderId="5" xfId="0" applyFont="1" applyBorder="1"/>
    <xf numFmtId="0" fontId="0" fillId="0" borderId="5" xfId="0" applyBorder="1"/>
    <xf numFmtId="2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2A76-6815-4011-806E-A13688B18AAC}">
  <sheetPr>
    <pageSetUpPr fitToPage="1"/>
  </sheetPr>
  <dimension ref="B2:P35"/>
  <sheetViews>
    <sheetView showGridLines="0" tabSelected="1" topLeftCell="A3" zoomScale="105" workbookViewId="0">
      <selection activeCell="B5" sqref="B5"/>
    </sheetView>
  </sheetViews>
  <sheetFormatPr defaultRowHeight="15" x14ac:dyDescent="0.25"/>
  <cols>
    <col min="1" max="1" width="1.85546875" customWidth="1"/>
    <col min="2" max="2" width="17" customWidth="1"/>
    <col min="3" max="3" width="14.140625" bestFit="1" customWidth="1"/>
    <col min="4" max="4" width="9.28515625" bestFit="1" customWidth="1"/>
    <col min="5" max="5" width="12.42578125" customWidth="1"/>
    <col min="6" max="6" width="10.42578125" bestFit="1" customWidth="1"/>
    <col min="7" max="7" width="9.7109375" customWidth="1"/>
    <col min="8" max="8" width="11.140625" customWidth="1"/>
    <col min="9" max="9" width="1.85546875" customWidth="1"/>
    <col min="10" max="10" width="12" bestFit="1" customWidth="1"/>
    <col min="11" max="11" width="9.5703125" bestFit="1" customWidth="1"/>
    <col min="12" max="12" width="11.42578125" bestFit="1" customWidth="1"/>
    <col min="13" max="13" width="1.85546875" customWidth="1"/>
    <col min="14" max="14" width="13.140625" customWidth="1"/>
    <col min="15" max="15" width="10.7109375" bestFit="1" customWidth="1"/>
  </cols>
  <sheetData>
    <row r="2" spans="2:16" x14ac:dyDescent="0.25">
      <c r="B2" s="38" t="s">
        <v>80</v>
      </c>
    </row>
    <row r="3" spans="2:16" x14ac:dyDescent="0.25">
      <c r="B3" s="1" t="s">
        <v>0</v>
      </c>
      <c r="C3" s="2"/>
      <c r="D3" s="2"/>
      <c r="E3" s="2"/>
      <c r="F3" s="2"/>
      <c r="G3" s="2"/>
      <c r="H3" s="2"/>
      <c r="I3" s="2"/>
      <c r="J3" s="2"/>
    </row>
    <row r="4" spans="2:16" ht="6" customHeight="1" x14ac:dyDescent="0.25"/>
    <row r="5" spans="2:16" x14ac:dyDescent="0.25">
      <c r="B5" s="3"/>
      <c r="C5" s="3"/>
      <c r="D5" s="7" t="s">
        <v>6</v>
      </c>
      <c r="E5" s="7"/>
      <c r="F5" s="7"/>
      <c r="G5" s="7"/>
      <c r="H5" s="7"/>
      <c r="I5" s="3"/>
      <c r="J5" s="7" t="s">
        <v>6</v>
      </c>
      <c r="K5" s="7"/>
      <c r="L5" s="7"/>
      <c r="M5" s="8"/>
      <c r="N5" s="7" t="s">
        <v>10</v>
      </c>
      <c r="O5" s="7"/>
      <c r="P5" s="7"/>
    </row>
    <row r="6" spans="2:16" ht="30" x14ac:dyDescent="0.25">
      <c r="B6" s="4" t="s">
        <v>53</v>
      </c>
      <c r="C6" s="4" t="s">
        <v>54</v>
      </c>
      <c r="D6" s="5" t="s">
        <v>1</v>
      </c>
      <c r="E6" s="5" t="s">
        <v>2</v>
      </c>
      <c r="F6" s="5" t="s">
        <v>3</v>
      </c>
      <c r="G6" s="6" t="s">
        <v>4</v>
      </c>
      <c r="H6" s="5" t="s">
        <v>5</v>
      </c>
      <c r="I6" s="3"/>
      <c r="J6" s="5" t="s">
        <v>7</v>
      </c>
      <c r="K6" s="5" t="s">
        <v>8</v>
      </c>
      <c r="L6" s="5" t="s">
        <v>9</v>
      </c>
      <c r="M6" s="3"/>
      <c r="N6" s="6" t="s">
        <v>65</v>
      </c>
      <c r="O6" s="6" t="s">
        <v>66</v>
      </c>
      <c r="P6" s="31" t="s">
        <v>67</v>
      </c>
    </row>
    <row r="7" spans="2:16" ht="7.5" customHeight="1" x14ac:dyDescent="0.25">
      <c r="B7" s="10"/>
      <c r="C7" s="10"/>
      <c r="D7" s="11"/>
      <c r="E7" s="11"/>
      <c r="F7" s="11"/>
      <c r="G7" s="12"/>
      <c r="H7" s="11"/>
      <c r="I7" s="13"/>
      <c r="J7" s="11"/>
      <c r="K7" s="11"/>
      <c r="L7" s="11"/>
      <c r="M7" s="13"/>
      <c r="N7" s="13"/>
      <c r="O7" s="13"/>
      <c r="P7" s="13"/>
    </row>
    <row r="8" spans="2:16" ht="6.75" customHeight="1" x14ac:dyDescent="0.25">
      <c r="B8" s="10"/>
      <c r="C8" s="10"/>
      <c r="D8" s="11"/>
      <c r="E8" s="11"/>
      <c r="F8" s="11"/>
      <c r="G8" s="12"/>
      <c r="H8" s="11"/>
      <c r="I8" s="13"/>
      <c r="J8" s="11"/>
      <c r="K8" s="11"/>
      <c r="L8" s="11"/>
      <c r="M8" s="13"/>
      <c r="N8" s="13"/>
      <c r="O8" s="13"/>
      <c r="P8" s="13"/>
    </row>
    <row r="9" spans="2:16" x14ac:dyDescent="0.25">
      <c r="B9" s="18" t="str">
        <f>Data!C3</f>
        <v>Sun Pharma.Inds.</v>
      </c>
      <c r="C9" s="19" t="s">
        <v>55</v>
      </c>
      <c r="D9" s="22">
        <f>Data!D3</f>
        <v>1700.5</v>
      </c>
      <c r="E9" s="32">
        <f>Data!E3</f>
        <v>239.93</v>
      </c>
      <c r="F9" s="22">
        <f>Data!F3</f>
        <v>408000.96500000003</v>
      </c>
      <c r="G9" s="24">
        <f>Data!I3</f>
        <v>-6116.52</v>
      </c>
      <c r="H9" s="22">
        <f>F9+G9</f>
        <v>401884.44500000001</v>
      </c>
      <c r="I9" s="22"/>
      <c r="J9" s="22">
        <f>Data!K3</f>
        <v>56809.09</v>
      </c>
      <c r="K9" s="22">
        <f>Data!L3</f>
        <v>17253.13</v>
      </c>
      <c r="L9" s="22">
        <f>Data!M3</f>
        <v>10952.92</v>
      </c>
      <c r="M9" s="20"/>
      <c r="N9" s="21">
        <f>$H9/J9</f>
        <v>7.0742982329060373</v>
      </c>
      <c r="O9" s="21">
        <f>$H9/K9</f>
        <v>23.293422410890081</v>
      </c>
      <c r="P9" s="21">
        <f>F9/L9</f>
        <v>37.25042865281587</v>
      </c>
    </row>
    <row r="10" spans="2:16" x14ac:dyDescent="0.25">
      <c r="B10" s="15" t="str">
        <f>Data!C4</f>
        <v>Divi's Lab.</v>
      </c>
      <c r="C10" s="14" t="s">
        <v>56</v>
      </c>
      <c r="D10" s="23">
        <f>Data!D4</f>
        <v>6149.5</v>
      </c>
      <c r="E10" s="33">
        <f>Data!E4</f>
        <v>26.55</v>
      </c>
      <c r="F10" s="23">
        <f>Data!F4</f>
        <v>163269.22500000001</v>
      </c>
      <c r="G10" s="25">
        <f>Data!I4</f>
        <v>-3625</v>
      </c>
      <c r="H10" s="23">
        <f t="shared" ref="H10:H18" si="0">F10+G10</f>
        <v>159644.22500000001</v>
      </c>
      <c r="I10" s="23"/>
      <c r="J10" s="23">
        <f>Data!K4</f>
        <v>10314</v>
      </c>
      <c r="K10" s="23">
        <f>Data!L4</f>
        <v>3320</v>
      </c>
      <c r="L10" s="23">
        <f>Data!M4</f>
        <v>2479</v>
      </c>
      <c r="M10" s="16"/>
      <c r="N10" s="17">
        <f t="shared" ref="N10:N18" si="1">$H10/J10</f>
        <v>15.478400717471398</v>
      </c>
      <c r="O10" s="17">
        <f t="shared" ref="O10:O18" si="2">$H10/K10</f>
        <v>48.085609939759038</v>
      </c>
      <c r="P10" s="17">
        <f t="shared" ref="P10:P18" si="3">F10/L10</f>
        <v>65.860921742638169</v>
      </c>
    </row>
    <row r="11" spans="2:16" x14ac:dyDescent="0.25">
      <c r="B11" s="15" t="str">
        <f>Data!C5</f>
        <v>Torrent Pharma.</v>
      </c>
      <c r="C11" s="14" t="s">
        <v>57</v>
      </c>
      <c r="D11" s="23">
        <f>Data!D5</f>
        <v>4261.5</v>
      </c>
      <c r="E11" s="33">
        <f>Data!E5</f>
        <v>33.840000000000003</v>
      </c>
      <c r="F11" s="23">
        <f>Data!F5</f>
        <v>144209.16</v>
      </c>
      <c r="G11" s="25">
        <f>Data!I5</f>
        <v>2242.54</v>
      </c>
      <c r="H11" s="23">
        <f t="shared" si="0"/>
        <v>146451.70000000001</v>
      </c>
      <c r="I11" s="23"/>
      <c r="J11" s="23">
        <f>Data!K5</f>
        <v>12742</v>
      </c>
      <c r="K11" s="23">
        <f>Data!L5</f>
        <v>3726.19</v>
      </c>
      <c r="L11" s="23">
        <f>Data!M5</f>
        <v>2272</v>
      </c>
      <c r="M11" s="16"/>
      <c r="N11" s="17">
        <f t="shared" si="1"/>
        <v>11.493619525977085</v>
      </c>
      <c r="O11" s="17">
        <f t="shared" si="2"/>
        <v>39.303336652183603</v>
      </c>
      <c r="P11" s="17">
        <f t="shared" si="3"/>
        <v>63.472341549295777</v>
      </c>
    </row>
    <row r="12" spans="2:16" x14ac:dyDescent="0.25">
      <c r="B12" s="15" t="str">
        <f>Data!C6</f>
        <v>Cipla</v>
      </c>
      <c r="C12" s="14" t="s">
        <v>58</v>
      </c>
      <c r="D12" s="23">
        <f>Data!D6</f>
        <v>1356.4</v>
      </c>
      <c r="E12" s="33">
        <f>Data!E6</f>
        <v>80.78</v>
      </c>
      <c r="F12" s="23">
        <f>Data!F6</f>
        <v>109569.99200000001</v>
      </c>
      <c r="G12" s="25">
        <f>Data!I6</f>
        <v>-332.47</v>
      </c>
      <c r="H12" s="23">
        <f t="shared" si="0"/>
        <v>109237.52200000001</v>
      </c>
      <c r="I12" s="23"/>
      <c r="J12" s="23">
        <f>Data!K6</f>
        <v>28351.08</v>
      </c>
      <c r="K12" s="23">
        <f>Data!L6</f>
        <v>7820.56</v>
      </c>
      <c r="L12" s="23">
        <f>Data!M6</f>
        <v>4533.37</v>
      </c>
      <c r="M12" s="16"/>
      <c r="N12" s="17">
        <f t="shared" si="1"/>
        <v>3.8530285971469165</v>
      </c>
      <c r="O12" s="17">
        <f t="shared" si="2"/>
        <v>13.96799231768569</v>
      </c>
      <c r="P12" s="17">
        <f t="shared" si="3"/>
        <v>24.169655686608422</v>
      </c>
    </row>
    <row r="13" spans="2:16" x14ac:dyDescent="0.25">
      <c r="B13" s="15" t="str">
        <f>Data!C7</f>
        <v>Dr Reddy's Labs</v>
      </c>
      <c r="C13" s="14" t="s">
        <v>59</v>
      </c>
      <c r="D13" s="23">
        <f>Data!D7</f>
        <v>1269.4000000000001</v>
      </c>
      <c r="E13" s="33">
        <f>Data!E7</f>
        <v>83.46</v>
      </c>
      <c r="F13" s="23">
        <f>Data!F7</f>
        <v>105944.124</v>
      </c>
      <c r="G13" s="25">
        <f>Data!I7</f>
        <v>3393.8</v>
      </c>
      <c r="H13" s="23">
        <f t="shared" si="0"/>
        <v>109337.924</v>
      </c>
      <c r="I13" s="23"/>
      <c r="J13" s="23">
        <f>Data!K7</f>
        <v>34682.199999999997</v>
      </c>
      <c r="K13" s="23">
        <f>Data!L7</f>
        <v>9514.9</v>
      </c>
      <c r="L13" s="23">
        <f>Data!M7</f>
        <v>5523</v>
      </c>
      <c r="M13" s="16"/>
      <c r="N13" s="17">
        <f t="shared" si="1"/>
        <v>3.1525659848567855</v>
      </c>
      <c r="O13" s="17">
        <f t="shared" si="2"/>
        <v>11.49123206759924</v>
      </c>
      <c r="P13" s="17">
        <f t="shared" si="3"/>
        <v>19.182350896252036</v>
      </c>
    </row>
    <row r="14" spans="2:16" x14ac:dyDescent="0.25">
      <c r="B14" s="15" t="str">
        <f>Data!C8</f>
        <v>Lupin</v>
      </c>
      <c r="C14" s="14" t="s">
        <v>60</v>
      </c>
      <c r="D14" s="23">
        <f>Data!D8</f>
        <v>2221.5</v>
      </c>
      <c r="E14" s="33">
        <f>Data!E8</f>
        <v>45.7</v>
      </c>
      <c r="F14" s="23">
        <f>Data!F8</f>
        <v>101522.55</v>
      </c>
      <c r="G14" s="25">
        <f>Data!I8</f>
        <v>3074.67</v>
      </c>
      <c r="H14" s="23">
        <f t="shared" si="0"/>
        <v>104597.22</v>
      </c>
      <c r="I14" s="23"/>
      <c r="J14" s="23">
        <f>Data!K8</f>
        <v>26150.5</v>
      </c>
      <c r="K14" s="23">
        <f>Data!L8</f>
        <v>5433.64</v>
      </c>
      <c r="L14" s="23">
        <f>Data!M8</f>
        <v>4669.18</v>
      </c>
      <c r="M14" s="16"/>
      <c r="N14" s="17">
        <f t="shared" si="1"/>
        <v>3.999817211907994</v>
      </c>
      <c r="O14" s="17">
        <f t="shared" si="2"/>
        <v>19.249935586457696</v>
      </c>
      <c r="P14" s="17">
        <f t="shared" si="3"/>
        <v>21.743121918623824</v>
      </c>
    </row>
    <row r="15" spans="2:16" x14ac:dyDescent="0.25">
      <c r="B15" s="15" t="str">
        <f>Data!C9</f>
        <v>Zydus Lifesci.</v>
      </c>
      <c r="C15" s="14" t="s">
        <v>61</v>
      </c>
      <c r="D15" s="23">
        <f>Data!D9</f>
        <v>910.45</v>
      </c>
      <c r="E15" s="33">
        <f>Data!E9</f>
        <v>100.62</v>
      </c>
      <c r="F15" s="23">
        <f>Data!F9</f>
        <v>91609.479000000007</v>
      </c>
      <c r="G15" s="25">
        <f>Data!I9</f>
        <v>6679.3</v>
      </c>
      <c r="H15" s="23">
        <f t="shared" si="0"/>
        <v>98288.77900000001</v>
      </c>
      <c r="I15" s="23"/>
      <c r="J15" s="23">
        <f>Data!K9</f>
        <v>26089.3</v>
      </c>
      <c r="K15" s="23">
        <f>Data!L9</f>
        <v>7293.5</v>
      </c>
      <c r="L15" s="23">
        <f>Data!M9</f>
        <v>5026.2</v>
      </c>
      <c r="M15" s="16"/>
      <c r="N15" s="17">
        <f t="shared" si="1"/>
        <v>3.7673980904048792</v>
      </c>
      <c r="O15" s="17">
        <f t="shared" si="2"/>
        <v>13.476215671488314</v>
      </c>
      <c r="P15" s="17">
        <f t="shared" si="3"/>
        <v>18.226389518920858</v>
      </c>
    </row>
    <row r="16" spans="2:16" x14ac:dyDescent="0.25">
      <c r="B16" s="15" t="str">
        <f>Data!C10</f>
        <v>Mankind Pharma</v>
      </c>
      <c r="C16" s="14" t="s">
        <v>62</v>
      </c>
      <c r="D16" s="23">
        <f>Data!D10</f>
        <v>2083.3000000000002</v>
      </c>
      <c r="E16" s="33">
        <f>Data!E10</f>
        <v>41.28</v>
      </c>
      <c r="F16" s="23">
        <f>Data!F10</f>
        <v>85998.624000000011</v>
      </c>
      <c r="G16" s="25">
        <f>Data!I10</f>
        <v>7814.15</v>
      </c>
      <c r="H16" s="23">
        <f t="shared" si="0"/>
        <v>93812.774000000005</v>
      </c>
      <c r="I16" s="23"/>
      <c r="J16" s="23">
        <f>Data!K10</f>
        <v>13914.08</v>
      </c>
      <c r="K16" s="23">
        <f>Data!L10</f>
        <v>3247.31</v>
      </c>
      <c r="L16" s="23">
        <f>Data!M10</f>
        <v>1803.33</v>
      </c>
      <c r="M16" s="16"/>
      <c r="N16" s="17">
        <f t="shared" si="1"/>
        <v>6.742290830583122</v>
      </c>
      <c r="O16" s="17">
        <f t="shared" si="2"/>
        <v>28.889380441041972</v>
      </c>
      <c r="P16" s="17">
        <f t="shared" si="3"/>
        <v>47.688789073547277</v>
      </c>
    </row>
    <row r="17" spans="2:16" x14ac:dyDescent="0.25">
      <c r="B17" s="15" t="str">
        <f>Data!C11</f>
        <v>Aurobindo Pharma</v>
      </c>
      <c r="C17" s="14" t="s">
        <v>63</v>
      </c>
      <c r="D17" s="23">
        <f>Data!D11</f>
        <v>1184.5999999999999</v>
      </c>
      <c r="E17" s="33">
        <f>Data!E11</f>
        <v>58.08</v>
      </c>
      <c r="F17" s="23">
        <f>Data!F11</f>
        <v>68801.567999999999</v>
      </c>
      <c r="G17" s="25">
        <f>Data!I11</f>
        <v>-440.98999999999978</v>
      </c>
      <c r="H17" s="23">
        <f t="shared" si="0"/>
        <v>68360.577999999994</v>
      </c>
      <c r="I17" s="23"/>
      <c r="J17" s="23">
        <f>Data!K11</f>
        <v>33181.86</v>
      </c>
      <c r="K17" s="23">
        <f>Data!L11</f>
        <v>7139.42</v>
      </c>
      <c r="L17" s="23">
        <f>Data!M11</f>
        <v>3484.96</v>
      </c>
      <c r="M17" s="16"/>
      <c r="N17" s="17">
        <f t="shared" si="1"/>
        <v>2.0601792063494933</v>
      </c>
      <c r="O17" s="17">
        <f t="shared" si="2"/>
        <v>9.5750884525633726</v>
      </c>
      <c r="P17" s="17">
        <f t="shared" si="3"/>
        <v>19.742426885817913</v>
      </c>
    </row>
    <row r="18" spans="2:16" x14ac:dyDescent="0.25">
      <c r="B18" s="15" t="str">
        <f>Data!C12</f>
        <v>Alkem Lab</v>
      </c>
      <c r="C18" s="14" t="s">
        <v>64</v>
      </c>
      <c r="D18" s="23">
        <f>Data!D12</f>
        <v>5480.5</v>
      </c>
      <c r="E18" s="33">
        <f>Data!E12</f>
        <v>11.96</v>
      </c>
      <c r="F18" s="23">
        <f>Data!F12</f>
        <v>65546.78</v>
      </c>
      <c r="G18" s="25">
        <f>Data!I12</f>
        <v>792.52</v>
      </c>
      <c r="H18" s="23">
        <f t="shared" si="0"/>
        <v>66339.3</v>
      </c>
      <c r="I18" s="23"/>
      <c r="J18" s="23">
        <f>Data!K12</f>
        <v>14252.7</v>
      </c>
      <c r="K18" s="23">
        <f>Data!L12</f>
        <v>3001.29</v>
      </c>
      <c r="L18" s="23">
        <f>Data!M12</f>
        <v>2422.44</v>
      </c>
      <c r="M18" s="16"/>
      <c r="N18" s="17">
        <f t="shared" si="1"/>
        <v>4.6545075669873075</v>
      </c>
      <c r="O18" s="17">
        <f t="shared" si="2"/>
        <v>22.103595453954799</v>
      </c>
      <c r="P18" s="17">
        <f t="shared" si="3"/>
        <v>27.058164495302258</v>
      </c>
    </row>
    <row r="20" spans="2:16" x14ac:dyDescent="0.25">
      <c r="B20" s="26" t="s">
        <v>68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>
        <f>MAX(N9:N18)</f>
        <v>15.478400717471398</v>
      </c>
      <c r="O20" s="27">
        <f t="shared" ref="O20:P20" si="4">MAX(O9:O18)</f>
        <v>48.085609939759038</v>
      </c>
      <c r="P20" s="27">
        <f t="shared" si="4"/>
        <v>65.860921742638169</v>
      </c>
    </row>
    <row r="21" spans="2:16" x14ac:dyDescent="0.25">
      <c r="B21" s="26" t="s">
        <v>69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>
        <f>QUARTILE(N9:N18,3)</f>
        <v>6.9912963823253085</v>
      </c>
      <c r="O21" s="27">
        <f t="shared" ref="O21:P21" si="5">QUARTILE(O9:O18,3)</f>
        <v>27.490390933503999</v>
      </c>
      <c r="P21" s="27">
        <f t="shared" si="5"/>
        <v>45.079198968364423</v>
      </c>
    </row>
    <row r="22" spans="2:16" x14ac:dyDescent="0.25">
      <c r="B22" s="28" t="s">
        <v>70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>
        <f>AVERAGE(N9:N18)</f>
        <v>6.2276105964591029</v>
      </c>
      <c r="O22" s="29">
        <f t="shared" ref="O22:P22" si="6">AVERAGE(O9:O18)</f>
        <v>22.943580899362377</v>
      </c>
      <c r="P22" s="29">
        <f t="shared" si="6"/>
        <v>34.439459041982239</v>
      </c>
    </row>
    <row r="23" spans="2:16" x14ac:dyDescent="0.25">
      <c r="B23" s="28" t="s">
        <v>71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>
        <f>MEDIAN(N9:N18)</f>
        <v>4.3271623894476505</v>
      </c>
      <c r="O23" s="29">
        <f t="shared" ref="O23:P23" si="7">MEDIAN(O9:O18)</f>
        <v>20.676765520206246</v>
      </c>
      <c r="P23" s="29">
        <f t="shared" si="7"/>
        <v>25.61391009095534</v>
      </c>
    </row>
    <row r="24" spans="2:16" x14ac:dyDescent="0.25">
      <c r="B24" s="26" t="s">
        <v>72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>QUARTILE(N9:N18,1)</f>
        <v>3.7888057170903884</v>
      </c>
      <c r="O24" s="27">
        <f t="shared" ref="O24:P24" si="8">QUARTILE(O9:O18,1)</f>
        <v>13.599159833037657</v>
      </c>
      <c r="P24" s="27">
        <f t="shared" si="8"/>
        <v>20.24260064401939</v>
      </c>
    </row>
    <row r="25" spans="2:16" x14ac:dyDescent="0.25">
      <c r="B25" s="26" t="s">
        <v>73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>
        <f>MIN(N9:N18)</f>
        <v>2.0601792063494933</v>
      </c>
      <c r="O25" s="27">
        <f t="shared" ref="O25:P25" si="9">MIN(O9:O18)</f>
        <v>9.5750884525633726</v>
      </c>
      <c r="P25" s="27">
        <f t="shared" si="9"/>
        <v>18.226389518920858</v>
      </c>
    </row>
    <row r="27" spans="2:16" x14ac:dyDescent="0.25">
      <c r="B27" s="30" t="s">
        <v>74</v>
      </c>
      <c r="C27" s="30"/>
      <c r="D27" s="30"/>
      <c r="E27" s="30"/>
      <c r="F27" s="30"/>
      <c r="G27" s="30"/>
      <c r="H27" s="30"/>
      <c r="I27" s="30"/>
      <c r="J27" s="30"/>
      <c r="K27" s="4"/>
      <c r="L27" s="4"/>
      <c r="M27" s="4"/>
      <c r="N27" s="6" t="s">
        <v>65</v>
      </c>
      <c r="O27" s="6" t="s">
        <v>66</v>
      </c>
      <c r="P27" s="31" t="s">
        <v>67</v>
      </c>
    </row>
    <row r="28" spans="2:16" ht="6" customHeight="1" x14ac:dyDescent="0.25"/>
    <row r="29" spans="2:16" x14ac:dyDescent="0.25">
      <c r="B29" s="14" t="s">
        <v>75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35">
        <f>N$23*J9</f>
        <v>245822.1576267466</v>
      </c>
      <c r="O29" s="35">
        <f>O$23*K9</f>
        <v>356738.923499636</v>
      </c>
      <c r="P29" s="35"/>
    </row>
    <row r="30" spans="2:16" x14ac:dyDescent="0.25">
      <c r="B30" s="14" t="s">
        <v>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35">
        <f>$G$9</f>
        <v>-6116.52</v>
      </c>
      <c r="O30" s="35">
        <f t="shared" ref="O30:P30" si="10">$G$9</f>
        <v>-6116.52</v>
      </c>
      <c r="P30" s="35">
        <f t="shared" si="10"/>
        <v>-6116.52</v>
      </c>
    </row>
    <row r="31" spans="2:16" x14ac:dyDescent="0.25">
      <c r="B31" s="14" t="s">
        <v>76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5">
        <f>SUM(N29:N30)</f>
        <v>239705.63762674661</v>
      </c>
      <c r="O31" s="35">
        <f t="shared" ref="O31" si="11">SUM(O29:O30)</f>
        <v>350622.40349963598</v>
      </c>
      <c r="P31" s="35">
        <f>P23*L9</f>
        <v>280547.10811342654</v>
      </c>
    </row>
    <row r="32" spans="2:16" x14ac:dyDescent="0.25">
      <c r="B32" t="s">
        <v>77</v>
      </c>
      <c r="N32" s="34">
        <f>$E$9</f>
        <v>239.93</v>
      </c>
      <c r="O32" s="34">
        <f t="shared" ref="O32:P32" si="12">$E$9</f>
        <v>239.93</v>
      </c>
      <c r="P32" s="34">
        <f t="shared" si="12"/>
        <v>239.93</v>
      </c>
    </row>
    <row r="33" spans="2:16" ht="15.75" thickBot="1" x14ac:dyDescent="0.3">
      <c r="B33" s="36" t="s">
        <v>78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>
        <f>N31/N32</f>
        <v>999.06488403595472</v>
      </c>
      <c r="O33" s="37">
        <f t="shared" ref="O33:P33" si="13">O31/O32</f>
        <v>1461.3529091803275</v>
      </c>
      <c r="P33" s="37">
        <f t="shared" si="13"/>
        <v>1169.2873259426772</v>
      </c>
    </row>
    <row r="34" spans="2:16" x14ac:dyDescent="0.25">
      <c r="B34" s="38" t="s">
        <v>79</v>
      </c>
    </row>
    <row r="35" spans="2:16" x14ac:dyDescent="0.25">
      <c r="N35" t="str">
        <f>IF(N33&gt;$D$9,"Undervalued","Overvalued")</f>
        <v>Overvalued</v>
      </c>
      <c r="O35" t="str">
        <f t="shared" ref="O35:P35" si="14">IF(O33&gt;$D$9,"Undervalued","Overvalued")</f>
        <v>Overvalued</v>
      </c>
      <c r="P35" t="str">
        <f t="shared" si="14"/>
        <v>Overvalued</v>
      </c>
    </row>
  </sheetData>
  <mergeCells count="3">
    <mergeCell ref="D5:H5"/>
    <mergeCell ref="J5:L5"/>
    <mergeCell ref="N5:P5"/>
  </mergeCells>
  <pageMargins left="0.7" right="0.7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172C-8B9A-4F50-B2C4-5EA1B03A4280}">
  <dimension ref="B2:P39"/>
  <sheetViews>
    <sheetView showGridLines="0" workbookViewId="0">
      <selection activeCell="B2" sqref="B2"/>
    </sheetView>
  </sheetViews>
  <sheetFormatPr defaultRowHeight="15" x14ac:dyDescent="0.25"/>
  <cols>
    <col min="1" max="1" width="1.85546875" customWidth="1"/>
    <col min="2" max="2" width="5.7109375" bestFit="1" customWidth="1"/>
    <col min="3" max="3" width="17.85546875" bestFit="1" customWidth="1"/>
    <col min="4" max="4" width="8.5703125" bestFit="1" customWidth="1"/>
    <col min="5" max="5" width="16.5703125" bestFit="1" customWidth="1"/>
    <col min="6" max="6" width="11.140625" bestFit="1" customWidth="1"/>
    <col min="7" max="7" width="10.7109375" bestFit="1" customWidth="1"/>
    <col min="8" max="8" width="14.42578125" bestFit="1" customWidth="1"/>
    <col min="9" max="9" width="14.42578125" customWidth="1"/>
    <col min="10" max="10" width="9.5703125" bestFit="1" customWidth="1"/>
    <col min="11" max="11" width="11" bestFit="1" customWidth="1"/>
    <col min="12" max="12" width="15.5703125" bestFit="1" customWidth="1"/>
    <col min="13" max="13" width="13.42578125" bestFit="1" customWidth="1"/>
    <col min="14" max="14" width="14.28515625" bestFit="1" customWidth="1"/>
  </cols>
  <sheetData>
    <row r="2" spans="2:14" x14ac:dyDescent="0.25">
      <c r="B2" s="39" t="s">
        <v>26</v>
      </c>
      <c r="C2" s="39" t="s">
        <v>27</v>
      </c>
      <c r="D2" s="39" t="s">
        <v>43</v>
      </c>
      <c r="E2" s="39" t="s">
        <v>44</v>
      </c>
      <c r="F2" s="39" t="s">
        <v>50</v>
      </c>
      <c r="G2" s="39" t="s">
        <v>45</v>
      </c>
      <c r="H2" s="39" t="s">
        <v>46</v>
      </c>
      <c r="I2" s="39" t="s">
        <v>4</v>
      </c>
      <c r="J2" s="39" t="s">
        <v>51</v>
      </c>
      <c r="K2" s="39" t="s">
        <v>47</v>
      </c>
      <c r="L2" s="39" t="s">
        <v>52</v>
      </c>
      <c r="M2" s="39" t="s">
        <v>48</v>
      </c>
      <c r="N2" s="39" t="s">
        <v>49</v>
      </c>
    </row>
    <row r="3" spans="2:14" x14ac:dyDescent="0.25">
      <c r="B3" s="40">
        <v>1</v>
      </c>
      <c r="C3" s="40" t="s">
        <v>11</v>
      </c>
      <c r="D3" s="41">
        <v>1700.5</v>
      </c>
      <c r="E3" s="41">
        <v>239.93</v>
      </c>
      <c r="F3" s="41">
        <f>E3*D3</f>
        <v>408000.96500000003</v>
      </c>
      <c r="G3" s="41">
        <v>5215.1000000000004</v>
      </c>
      <c r="H3" s="41">
        <v>11331.62</v>
      </c>
      <c r="I3" s="41">
        <f>G3-H3</f>
        <v>-6116.52</v>
      </c>
      <c r="J3" s="41">
        <f>F3+G3-H3</f>
        <v>401884.44500000001</v>
      </c>
      <c r="K3" s="41">
        <v>56809.09</v>
      </c>
      <c r="L3" s="41">
        <v>17253.13</v>
      </c>
      <c r="M3" s="41">
        <v>10952.92</v>
      </c>
      <c r="N3" s="41">
        <v>408006.91</v>
      </c>
    </row>
    <row r="4" spans="2:14" x14ac:dyDescent="0.25">
      <c r="B4" s="40">
        <v>2</v>
      </c>
      <c r="C4" s="40" t="s">
        <v>12</v>
      </c>
      <c r="D4" s="41">
        <v>6149.5</v>
      </c>
      <c r="E4" s="41">
        <v>26.55</v>
      </c>
      <c r="F4" s="41">
        <f t="shared" ref="F4:F39" si="0">E4*D4</f>
        <v>163269.22500000001</v>
      </c>
      <c r="G4" s="41">
        <v>90</v>
      </c>
      <c r="H4" s="41">
        <v>3715</v>
      </c>
      <c r="I4" s="41">
        <f t="shared" ref="I4:I12" si="1">G4-H4</f>
        <v>-3625</v>
      </c>
      <c r="J4" s="41">
        <f t="shared" ref="J4:J39" si="2">F4+G4-H4</f>
        <v>159644.22500000001</v>
      </c>
      <c r="K4" s="41">
        <v>10314</v>
      </c>
      <c r="L4" s="41">
        <v>3320</v>
      </c>
      <c r="M4" s="41">
        <v>2479</v>
      </c>
      <c r="N4" s="41">
        <v>163249.9</v>
      </c>
    </row>
    <row r="5" spans="2:14" x14ac:dyDescent="0.25">
      <c r="B5" s="40">
        <v>3</v>
      </c>
      <c r="C5" s="40" t="s">
        <v>13</v>
      </c>
      <c r="D5" s="41">
        <v>4261.5</v>
      </c>
      <c r="E5" s="41">
        <v>33.840000000000003</v>
      </c>
      <c r="F5" s="41">
        <f t="shared" si="0"/>
        <v>144209.16</v>
      </c>
      <c r="G5" s="41">
        <v>2822</v>
      </c>
      <c r="H5" s="41">
        <v>579.46</v>
      </c>
      <c r="I5" s="41">
        <f t="shared" si="1"/>
        <v>2242.54</v>
      </c>
      <c r="J5" s="41">
        <f t="shared" si="2"/>
        <v>146451.70000000001</v>
      </c>
      <c r="K5" s="41">
        <v>12742</v>
      </c>
      <c r="L5" s="41">
        <v>3726.19</v>
      </c>
      <c r="M5" s="41">
        <v>2272</v>
      </c>
      <c r="N5" s="41">
        <v>144228.51999999999</v>
      </c>
    </row>
    <row r="6" spans="2:14" x14ac:dyDescent="0.25">
      <c r="B6" s="40">
        <v>4</v>
      </c>
      <c r="C6" s="40" t="s">
        <v>14</v>
      </c>
      <c r="D6" s="41">
        <v>1356.4</v>
      </c>
      <c r="E6" s="41">
        <v>80.78</v>
      </c>
      <c r="F6" s="41">
        <f t="shared" si="0"/>
        <v>109569.99200000001</v>
      </c>
      <c r="G6" s="41">
        <v>467.37</v>
      </c>
      <c r="H6" s="41">
        <v>799.84</v>
      </c>
      <c r="I6" s="41">
        <f t="shared" si="1"/>
        <v>-332.47</v>
      </c>
      <c r="J6" s="41">
        <f t="shared" si="2"/>
        <v>109237.52200000001</v>
      </c>
      <c r="K6" s="41">
        <v>28351.08</v>
      </c>
      <c r="L6" s="41">
        <v>7820.56</v>
      </c>
      <c r="M6" s="41">
        <v>4533.37</v>
      </c>
      <c r="N6" s="41">
        <v>109567.37</v>
      </c>
    </row>
    <row r="7" spans="2:14" x14ac:dyDescent="0.25">
      <c r="B7" s="40">
        <v>5</v>
      </c>
      <c r="C7" s="40" t="s">
        <v>15</v>
      </c>
      <c r="D7" s="41">
        <v>1269.4000000000001</v>
      </c>
      <c r="E7" s="41">
        <v>83.46</v>
      </c>
      <c r="F7" s="41">
        <f t="shared" si="0"/>
        <v>105944.124</v>
      </c>
      <c r="G7" s="41">
        <v>5854</v>
      </c>
      <c r="H7" s="41">
        <v>2460.1999999999998</v>
      </c>
      <c r="I7" s="41">
        <f t="shared" si="1"/>
        <v>3393.8</v>
      </c>
      <c r="J7" s="41">
        <f t="shared" si="2"/>
        <v>109337.924</v>
      </c>
      <c r="K7" s="41">
        <v>34682.199999999997</v>
      </c>
      <c r="L7" s="41">
        <v>9514.9</v>
      </c>
      <c r="M7" s="41">
        <v>5523</v>
      </c>
      <c r="N7" s="41">
        <v>105947.98</v>
      </c>
    </row>
    <row r="8" spans="2:14" x14ac:dyDescent="0.25">
      <c r="B8" s="40">
        <v>6</v>
      </c>
      <c r="C8" s="40" t="s">
        <v>16</v>
      </c>
      <c r="D8" s="41">
        <v>2221.5</v>
      </c>
      <c r="E8" s="41">
        <v>45.7</v>
      </c>
      <c r="F8" s="41">
        <f t="shared" si="0"/>
        <v>101522.55</v>
      </c>
      <c r="G8" s="41">
        <v>6217</v>
      </c>
      <c r="H8" s="41">
        <v>3142.33</v>
      </c>
      <c r="I8" s="41">
        <f t="shared" si="1"/>
        <v>3074.67</v>
      </c>
      <c r="J8" s="41">
        <f t="shared" si="2"/>
        <v>104597.22</v>
      </c>
      <c r="K8" s="41">
        <v>26150.5</v>
      </c>
      <c r="L8" s="41">
        <v>5433.64</v>
      </c>
      <c r="M8" s="41">
        <v>4669.18</v>
      </c>
      <c r="N8" s="41">
        <v>101532.15</v>
      </c>
    </row>
    <row r="9" spans="2:14" x14ac:dyDescent="0.25">
      <c r="B9" s="40">
        <v>7</v>
      </c>
      <c r="C9" s="40" t="s">
        <v>17</v>
      </c>
      <c r="D9" s="41">
        <v>910.45</v>
      </c>
      <c r="E9" s="41">
        <v>100.62</v>
      </c>
      <c r="F9" s="41">
        <f t="shared" si="0"/>
        <v>91609.479000000007</v>
      </c>
      <c r="G9" s="41">
        <v>9636.1</v>
      </c>
      <c r="H9" s="41">
        <v>2956.8</v>
      </c>
      <c r="I9" s="41">
        <f t="shared" si="1"/>
        <v>6679.3</v>
      </c>
      <c r="J9" s="41">
        <f t="shared" si="2"/>
        <v>98288.77900000001</v>
      </c>
      <c r="K9" s="41">
        <v>26089.3</v>
      </c>
      <c r="L9" s="41">
        <v>7293.5</v>
      </c>
      <c r="M9" s="41">
        <v>5026.2</v>
      </c>
      <c r="N9" s="41">
        <v>91612.57</v>
      </c>
    </row>
    <row r="10" spans="2:14" x14ac:dyDescent="0.25">
      <c r="B10" s="40">
        <v>8</v>
      </c>
      <c r="C10" s="40" t="s">
        <v>18</v>
      </c>
      <c r="D10" s="41">
        <v>2083.3000000000002</v>
      </c>
      <c r="E10" s="41">
        <v>41.28</v>
      </c>
      <c r="F10" s="41">
        <f t="shared" si="0"/>
        <v>85998.624000000011</v>
      </c>
      <c r="G10" s="41">
        <v>8368.65</v>
      </c>
      <c r="H10" s="41">
        <v>554.5</v>
      </c>
      <c r="I10" s="41">
        <f t="shared" si="1"/>
        <v>7814.15</v>
      </c>
      <c r="J10" s="41">
        <f t="shared" si="2"/>
        <v>93812.774000000005</v>
      </c>
      <c r="K10" s="41">
        <v>13914.08</v>
      </c>
      <c r="L10" s="41">
        <v>3247.31</v>
      </c>
      <c r="M10" s="41">
        <v>1803.33</v>
      </c>
      <c r="N10" s="41">
        <v>85999.679999999993</v>
      </c>
    </row>
    <row r="11" spans="2:14" x14ac:dyDescent="0.25">
      <c r="B11" s="40">
        <v>9</v>
      </c>
      <c r="C11" s="40" t="s">
        <v>19</v>
      </c>
      <c r="D11" s="41">
        <v>1184.5999999999999</v>
      </c>
      <c r="E11" s="41">
        <v>58.08</v>
      </c>
      <c r="F11" s="41">
        <f t="shared" si="0"/>
        <v>68801.567999999999</v>
      </c>
      <c r="G11" s="41">
        <v>7794.5</v>
      </c>
      <c r="H11" s="41">
        <v>8235.49</v>
      </c>
      <c r="I11" s="41">
        <f t="shared" si="1"/>
        <v>-440.98999999999978</v>
      </c>
      <c r="J11" s="41">
        <f t="shared" si="2"/>
        <v>68360.577999999994</v>
      </c>
      <c r="K11" s="41">
        <v>33181.86</v>
      </c>
      <c r="L11" s="41">
        <v>7139.42</v>
      </c>
      <c r="M11" s="41">
        <v>3484.96</v>
      </c>
      <c r="N11" s="41">
        <v>68801.759999999995</v>
      </c>
    </row>
    <row r="12" spans="2:14" x14ac:dyDescent="0.25">
      <c r="B12" s="40">
        <v>10</v>
      </c>
      <c r="C12" s="40" t="s">
        <v>20</v>
      </c>
      <c r="D12" s="41">
        <v>5480.5</v>
      </c>
      <c r="E12" s="41">
        <v>11.96</v>
      </c>
      <c r="F12" s="41">
        <f t="shared" si="0"/>
        <v>65546.78</v>
      </c>
      <c r="G12" s="41">
        <v>2355.6</v>
      </c>
      <c r="H12" s="41">
        <v>1563.08</v>
      </c>
      <c r="I12" s="41">
        <f t="shared" si="1"/>
        <v>792.52</v>
      </c>
      <c r="J12" s="41">
        <f t="shared" si="2"/>
        <v>66339.3</v>
      </c>
      <c r="K12" s="41">
        <v>14252.7</v>
      </c>
      <c r="L12" s="41">
        <v>3001.29</v>
      </c>
      <c r="M12" s="41">
        <v>2422.44</v>
      </c>
      <c r="N12" s="41">
        <v>65527.6</v>
      </c>
    </row>
    <row r="13" spans="2:14" x14ac:dyDescent="0.25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4" x14ac:dyDescent="0.25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2:14" x14ac:dyDescent="0.25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4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6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6" x14ac:dyDescent="0.25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6" x14ac:dyDescent="0.2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2:16" x14ac:dyDescent="0.25">
      <c r="B20">
        <v>11</v>
      </c>
      <c r="C20" t="s">
        <v>21</v>
      </c>
      <c r="D20" s="9">
        <v>380.35</v>
      </c>
      <c r="E20" s="9">
        <v>162.09</v>
      </c>
      <c r="F20" s="9">
        <f t="shared" si="0"/>
        <v>61650.931500000006</v>
      </c>
      <c r="G20" s="9">
        <v>16535.5</v>
      </c>
      <c r="H20" s="9">
        <v>4120.2</v>
      </c>
      <c r="I20" s="9"/>
      <c r="J20" s="9">
        <f t="shared" si="2"/>
        <v>74066.231500000009</v>
      </c>
      <c r="K20" s="9">
        <v>16827.400000000001</v>
      </c>
      <c r="L20" s="9">
        <v>4423.6000000000004</v>
      </c>
      <c r="M20" s="9">
        <v>629.6</v>
      </c>
      <c r="N20" s="9">
        <v>61651.23</v>
      </c>
    </row>
    <row r="21" spans="2:16" x14ac:dyDescent="0.25">
      <c r="B21">
        <v>12</v>
      </c>
      <c r="C21" t="s">
        <v>22</v>
      </c>
      <c r="D21" s="9">
        <v>2030.5</v>
      </c>
      <c r="E21" s="9">
        <v>28.22</v>
      </c>
      <c r="F21" s="9">
        <f t="shared" si="0"/>
        <v>57300.71</v>
      </c>
      <c r="G21" s="9">
        <v>1224.17</v>
      </c>
      <c r="H21" s="9">
        <v>1705.23</v>
      </c>
      <c r="I21" s="9"/>
      <c r="J21" s="9">
        <f t="shared" si="2"/>
        <v>56819.649999999994</v>
      </c>
      <c r="K21" s="9">
        <v>16468.13</v>
      </c>
      <c r="L21" s="9">
        <v>2465.11</v>
      </c>
      <c r="M21" s="9">
        <v>1065.01</v>
      </c>
      <c r="N21" s="9">
        <v>57300.87</v>
      </c>
    </row>
    <row r="22" spans="2:16" x14ac:dyDescent="0.25">
      <c r="B22">
        <v>13</v>
      </c>
      <c r="C22" t="s">
        <v>23</v>
      </c>
      <c r="D22" s="9">
        <v>26290</v>
      </c>
      <c r="E22" s="9">
        <v>2.12</v>
      </c>
      <c r="F22" s="9">
        <f t="shared" si="0"/>
        <v>55734.8</v>
      </c>
      <c r="G22" s="9">
        <v>182.45</v>
      </c>
      <c r="H22" s="9">
        <v>1627.92</v>
      </c>
      <c r="I22" s="9"/>
      <c r="J22" s="9">
        <f t="shared" si="2"/>
        <v>54289.33</v>
      </c>
      <c r="K22" s="9">
        <v>6824.13</v>
      </c>
      <c r="L22" s="9">
        <v>1970.83</v>
      </c>
      <c r="M22" s="9">
        <v>1524.13</v>
      </c>
      <c r="N22" s="9">
        <v>55866.25</v>
      </c>
      <c r="P22" s="9"/>
    </row>
    <row r="23" spans="2:16" x14ac:dyDescent="0.25">
      <c r="B23">
        <v>14</v>
      </c>
      <c r="C23" t="s">
        <v>24</v>
      </c>
      <c r="D23" s="9">
        <v>1012.45</v>
      </c>
      <c r="E23" s="9">
        <v>53.99</v>
      </c>
      <c r="F23" s="9">
        <f t="shared" si="0"/>
        <v>54662.175500000005</v>
      </c>
      <c r="G23" s="9">
        <v>2211.7600000000002</v>
      </c>
      <c r="H23" s="9">
        <v>144.21</v>
      </c>
      <c r="I23" s="9"/>
      <c r="J23" s="9">
        <f t="shared" si="2"/>
        <v>56729.725500000008</v>
      </c>
      <c r="K23" s="9">
        <v>6721.63</v>
      </c>
      <c r="L23" s="9">
        <v>1073.33</v>
      </c>
      <c r="M23" s="9">
        <v>840.82</v>
      </c>
      <c r="N23" s="9">
        <v>54657.78</v>
      </c>
    </row>
    <row r="24" spans="2:16" x14ac:dyDescent="0.25">
      <c r="B24">
        <v>15</v>
      </c>
      <c r="C24" t="s">
        <v>25</v>
      </c>
      <c r="D24" s="9">
        <v>2597.3000000000002</v>
      </c>
      <c r="E24" s="9">
        <v>16.940000000000001</v>
      </c>
      <c r="F24" s="9">
        <f t="shared" si="0"/>
        <v>43998.26200000001</v>
      </c>
      <c r="G24" s="9">
        <v>35.71</v>
      </c>
      <c r="H24" s="9">
        <v>1403.52</v>
      </c>
      <c r="I24" s="9"/>
      <c r="J24" s="9">
        <f t="shared" si="2"/>
        <v>42630.452000000012</v>
      </c>
      <c r="K24" s="9">
        <v>3800.74</v>
      </c>
      <c r="L24" s="9">
        <v>1255.1500000000001</v>
      </c>
      <c r="M24" s="9">
        <v>1020.99</v>
      </c>
      <c r="N24" s="9">
        <v>43999.83</v>
      </c>
    </row>
    <row r="25" spans="2:16" x14ac:dyDescent="0.25">
      <c r="B25">
        <v>16</v>
      </c>
      <c r="C25" t="s">
        <v>28</v>
      </c>
      <c r="D25" s="9">
        <v>1495.1</v>
      </c>
      <c r="E25" s="9">
        <v>25.37</v>
      </c>
      <c r="F25" s="9">
        <f t="shared" si="0"/>
        <v>37930.686999999998</v>
      </c>
      <c r="G25" s="9">
        <v>1278.92</v>
      </c>
      <c r="H25" s="9">
        <v>344.23</v>
      </c>
      <c r="I25" s="9"/>
      <c r="J25" s="9">
        <f t="shared" si="2"/>
        <v>38865.376999999993</v>
      </c>
      <c r="K25" s="9">
        <v>9504.5400000000009</v>
      </c>
      <c r="L25" s="9">
        <v>1789.93</v>
      </c>
      <c r="M25" s="9">
        <v>941.08</v>
      </c>
      <c r="N25" s="9">
        <v>37931.32</v>
      </c>
    </row>
    <row r="26" spans="2:16" x14ac:dyDescent="0.25">
      <c r="B26">
        <v>17</v>
      </c>
      <c r="C26" t="s">
        <v>29</v>
      </c>
      <c r="D26" s="9">
        <v>2940.1</v>
      </c>
      <c r="E26" s="9">
        <v>12.49</v>
      </c>
      <c r="F26" s="9">
        <f t="shared" si="0"/>
        <v>36721.849000000002</v>
      </c>
      <c r="G26" s="9">
        <v>245.89</v>
      </c>
      <c r="H26" s="9">
        <v>176.24</v>
      </c>
      <c r="I26" s="9"/>
      <c r="J26" s="9">
        <f t="shared" si="2"/>
        <v>36791.499000000003</v>
      </c>
      <c r="K26" s="9">
        <v>5201.63</v>
      </c>
      <c r="L26" s="9">
        <v>1348.43</v>
      </c>
      <c r="M26" s="9">
        <v>1014.56</v>
      </c>
      <c r="N26" s="9">
        <v>36732.32</v>
      </c>
    </row>
    <row r="27" spans="2:16" x14ac:dyDescent="0.25">
      <c r="B27">
        <v>18</v>
      </c>
      <c r="C27" t="s">
        <v>30</v>
      </c>
      <c r="D27" s="9">
        <v>1978.7</v>
      </c>
      <c r="E27" s="9">
        <v>16.05</v>
      </c>
      <c r="F27" s="9">
        <f t="shared" si="0"/>
        <v>31758.135000000002</v>
      </c>
      <c r="G27" s="9">
        <v>19.23</v>
      </c>
      <c r="H27" s="9">
        <v>129.44999999999999</v>
      </c>
      <c r="I27" s="9"/>
      <c r="J27" s="9">
        <f t="shared" si="2"/>
        <v>31647.915000000001</v>
      </c>
      <c r="K27" s="9">
        <v>4193.04</v>
      </c>
      <c r="L27" s="9">
        <v>1043.1199999999999</v>
      </c>
      <c r="M27" s="9">
        <v>753.78</v>
      </c>
      <c r="N27" s="9">
        <v>31763.59</v>
      </c>
    </row>
    <row r="28" spans="2:16" x14ac:dyDescent="0.25">
      <c r="B28">
        <v>19</v>
      </c>
      <c r="C28" t="s">
        <v>31</v>
      </c>
      <c r="D28" s="9">
        <v>1808.2</v>
      </c>
      <c r="E28" s="9">
        <v>16.48</v>
      </c>
      <c r="F28" s="9">
        <f t="shared" si="0"/>
        <v>29799.136000000002</v>
      </c>
      <c r="G28" s="9">
        <v>302.25</v>
      </c>
      <c r="H28" s="9">
        <v>2556.21</v>
      </c>
      <c r="I28" s="9"/>
      <c r="J28" s="9">
        <f t="shared" si="2"/>
        <v>27545.176000000003</v>
      </c>
      <c r="K28" s="9">
        <v>6112.77</v>
      </c>
      <c r="L28" s="9">
        <v>1481.33</v>
      </c>
      <c r="M28" s="9">
        <v>847.18</v>
      </c>
      <c r="N28" s="9">
        <v>29791.26</v>
      </c>
    </row>
    <row r="29" spans="2:16" x14ac:dyDescent="0.25">
      <c r="B29">
        <v>20</v>
      </c>
      <c r="C29" t="s">
        <v>32</v>
      </c>
      <c r="D29" s="9">
        <v>1470.4</v>
      </c>
      <c r="E29" s="9">
        <v>18.96</v>
      </c>
      <c r="F29" s="9">
        <f t="shared" si="0"/>
        <v>27878.784000000003</v>
      </c>
      <c r="G29" s="9">
        <v>1659.22</v>
      </c>
      <c r="H29" s="9">
        <v>165.3</v>
      </c>
      <c r="I29" s="9"/>
      <c r="J29" s="9">
        <f t="shared" si="2"/>
        <v>29372.704000000005</v>
      </c>
      <c r="K29" s="9">
        <v>8850.09</v>
      </c>
      <c r="L29" s="9">
        <v>1536.16</v>
      </c>
      <c r="M29" s="9">
        <v>894.77</v>
      </c>
      <c r="N29" s="9">
        <v>27874.75</v>
      </c>
    </row>
    <row r="30" spans="2:16" x14ac:dyDescent="0.25">
      <c r="B30">
        <v>21</v>
      </c>
      <c r="C30" t="s">
        <v>33</v>
      </c>
      <c r="D30" s="9">
        <v>5017.2</v>
      </c>
      <c r="E30" s="9">
        <v>4.57</v>
      </c>
      <c r="F30" s="9">
        <f t="shared" si="0"/>
        <v>22928.603999999999</v>
      </c>
      <c r="G30" s="9">
        <v>42.98</v>
      </c>
      <c r="H30" s="9">
        <v>2800.98</v>
      </c>
      <c r="I30" s="9"/>
      <c r="J30" s="9">
        <f t="shared" si="2"/>
        <v>20170.603999999999</v>
      </c>
      <c r="K30" s="9">
        <v>2482.33</v>
      </c>
      <c r="L30" s="9">
        <v>914.1</v>
      </c>
      <c r="M30" s="9">
        <v>853.55</v>
      </c>
      <c r="N30" s="9">
        <v>22952.55</v>
      </c>
    </row>
    <row r="31" spans="2:16" x14ac:dyDescent="0.25">
      <c r="B31">
        <v>22</v>
      </c>
      <c r="C31" t="s">
        <v>34</v>
      </c>
      <c r="D31" s="9">
        <v>1390.1</v>
      </c>
      <c r="E31" s="9">
        <v>16.25</v>
      </c>
      <c r="F31" s="9">
        <f t="shared" si="0"/>
        <v>22589.125</v>
      </c>
      <c r="G31" s="9">
        <v>2456</v>
      </c>
      <c r="H31" s="9">
        <v>191</v>
      </c>
      <c r="I31" s="9"/>
      <c r="J31" s="9">
        <f t="shared" si="2"/>
        <v>24854.125</v>
      </c>
      <c r="K31" s="9">
        <v>3151</v>
      </c>
      <c r="L31" s="9">
        <v>455</v>
      </c>
      <c r="M31" s="9">
        <v>-10</v>
      </c>
      <c r="N31" s="9">
        <v>22588.04</v>
      </c>
    </row>
    <row r="32" spans="2:16" x14ac:dyDescent="0.25">
      <c r="B32">
        <v>23</v>
      </c>
      <c r="C32" t="s">
        <v>35</v>
      </c>
      <c r="D32" s="9">
        <v>8904</v>
      </c>
      <c r="E32" s="9">
        <v>2.5</v>
      </c>
      <c r="F32" s="9">
        <f t="shared" si="0"/>
        <v>22260</v>
      </c>
      <c r="G32" s="9">
        <v>34.79</v>
      </c>
      <c r="H32" s="9">
        <v>536.70000000000005</v>
      </c>
      <c r="I32" s="9"/>
      <c r="J32" s="9">
        <f t="shared" si="2"/>
        <v>21758.09</v>
      </c>
      <c r="K32" s="9">
        <v>2177.4499999999998</v>
      </c>
      <c r="L32" s="9">
        <v>294.27999999999997</v>
      </c>
      <c r="M32" s="9">
        <v>200.89</v>
      </c>
      <c r="N32" s="9">
        <v>22260</v>
      </c>
    </row>
    <row r="33" spans="2:14" x14ac:dyDescent="0.25">
      <c r="B33">
        <v>24</v>
      </c>
      <c r="C33" t="s">
        <v>36</v>
      </c>
      <c r="D33" s="9">
        <v>164.05</v>
      </c>
      <c r="E33" s="9">
        <v>132.91999999999999</v>
      </c>
      <c r="F33" s="9">
        <f t="shared" si="0"/>
        <v>21805.525999999998</v>
      </c>
      <c r="G33" s="9">
        <v>4850.95</v>
      </c>
      <c r="H33" s="9">
        <v>501.46</v>
      </c>
      <c r="I33" s="9"/>
      <c r="J33" s="9">
        <f t="shared" si="2"/>
        <v>26155.016</v>
      </c>
      <c r="K33" s="9">
        <v>8871.3700000000008</v>
      </c>
      <c r="L33" s="9">
        <v>1642.08</v>
      </c>
      <c r="M33" s="9">
        <v>-163.61000000000001</v>
      </c>
      <c r="N33" s="9">
        <v>21806.32</v>
      </c>
    </row>
    <row r="34" spans="2:14" x14ac:dyDescent="0.25">
      <c r="B34">
        <v>25</v>
      </c>
      <c r="C34" t="s">
        <v>37</v>
      </c>
      <c r="D34" s="9">
        <v>920.65</v>
      </c>
      <c r="E34" s="9">
        <v>21.12</v>
      </c>
      <c r="F34" s="9">
        <f t="shared" si="0"/>
        <v>19444.128000000001</v>
      </c>
      <c r="G34" s="9">
        <v>417.56</v>
      </c>
      <c r="H34" s="9">
        <v>463.88</v>
      </c>
      <c r="I34" s="9"/>
      <c r="J34" s="9">
        <f t="shared" si="2"/>
        <v>19397.808000000001</v>
      </c>
      <c r="K34" s="9">
        <v>2169.86</v>
      </c>
      <c r="L34" s="9">
        <v>446.43</v>
      </c>
      <c r="M34" s="9">
        <v>332.95</v>
      </c>
      <c r="N34" s="9">
        <v>19447</v>
      </c>
    </row>
    <row r="35" spans="2:14" x14ac:dyDescent="0.25">
      <c r="B35">
        <v>26</v>
      </c>
      <c r="C35" t="s">
        <v>38</v>
      </c>
      <c r="D35" s="9">
        <v>1364.4</v>
      </c>
      <c r="E35" s="9">
        <v>13.85</v>
      </c>
      <c r="F35" s="9">
        <f t="shared" si="0"/>
        <v>18896.940000000002</v>
      </c>
      <c r="G35" s="9">
        <v>2388.84</v>
      </c>
      <c r="H35" s="9">
        <v>222.83</v>
      </c>
      <c r="I35" s="9"/>
      <c r="J35" s="9">
        <f t="shared" si="2"/>
        <v>21062.95</v>
      </c>
      <c r="K35" s="9">
        <v>3078.16</v>
      </c>
      <c r="L35" s="9">
        <v>1033.54</v>
      </c>
      <c r="M35" s="9">
        <v>470.75</v>
      </c>
      <c r="N35" s="9">
        <v>18900.11</v>
      </c>
    </row>
    <row r="36" spans="2:14" x14ac:dyDescent="0.25">
      <c r="B36">
        <v>27</v>
      </c>
      <c r="C36" t="s">
        <v>39</v>
      </c>
      <c r="D36" s="9">
        <v>13246</v>
      </c>
      <c r="E36" s="9">
        <v>1.28</v>
      </c>
      <c r="F36" s="9">
        <f t="shared" si="0"/>
        <v>16954.88</v>
      </c>
      <c r="G36" s="9">
        <v>264.52999999999997</v>
      </c>
      <c r="H36" s="9">
        <v>258.82</v>
      </c>
      <c r="I36" s="9"/>
      <c r="J36" s="9">
        <f t="shared" si="2"/>
        <v>16960.59</v>
      </c>
      <c r="K36" s="9">
        <v>1575.09</v>
      </c>
      <c r="L36" s="9">
        <v>351.09</v>
      </c>
      <c r="M36" s="9">
        <v>179.13</v>
      </c>
      <c r="N36" s="9">
        <v>16994.47</v>
      </c>
    </row>
    <row r="37" spans="2:14" x14ac:dyDescent="0.25">
      <c r="B37">
        <v>28</v>
      </c>
      <c r="C37" t="s">
        <v>40</v>
      </c>
      <c r="D37" s="9">
        <v>2039.2</v>
      </c>
      <c r="E37" s="9">
        <v>8.19</v>
      </c>
      <c r="F37" s="9">
        <f t="shared" si="0"/>
        <v>16701.047999999999</v>
      </c>
      <c r="G37" s="9">
        <v>8.35</v>
      </c>
      <c r="H37" s="9">
        <v>248.93</v>
      </c>
      <c r="I37" s="9"/>
      <c r="J37" s="9">
        <f t="shared" si="2"/>
        <v>16460.467999999997</v>
      </c>
      <c r="K37" s="9">
        <v>1215.0999999999999</v>
      </c>
      <c r="L37" s="9">
        <v>248.99</v>
      </c>
      <c r="M37" s="9">
        <v>284.8</v>
      </c>
      <c r="N37" s="9">
        <v>16695.16</v>
      </c>
    </row>
    <row r="38" spans="2:14" x14ac:dyDescent="0.25">
      <c r="B38">
        <v>29</v>
      </c>
      <c r="C38" t="s">
        <v>41</v>
      </c>
      <c r="D38" s="9">
        <v>881.45</v>
      </c>
      <c r="E38" s="9">
        <v>17.91</v>
      </c>
      <c r="F38" s="9">
        <f t="shared" si="0"/>
        <v>15786.7695</v>
      </c>
      <c r="G38" s="9">
        <v>260.7</v>
      </c>
      <c r="H38" s="9">
        <v>2176</v>
      </c>
      <c r="I38" s="9"/>
      <c r="J38" s="9">
        <f t="shared" si="2"/>
        <v>13871.469500000001</v>
      </c>
      <c r="K38" s="9">
        <v>4560.2</v>
      </c>
      <c r="L38" s="9">
        <v>2549.1</v>
      </c>
      <c r="M38" s="9">
        <v>1555.5</v>
      </c>
      <c r="N38" s="9">
        <v>15787.64</v>
      </c>
    </row>
    <row r="39" spans="2:14" x14ac:dyDescent="0.25">
      <c r="B39">
        <v>30</v>
      </c>
      <c r="C39" t="s">
        <v>42</v>
      </c>
      <c r="D39" s="9">
        <v>769.85</v>
      </c>
      <c r="E39" s="9">
        <v>19.66</v>
      </c>
      <c r="F39" s="9">
        <f t="shared" si="0"/>
        <v>15135.251</v>
      </c>
      <c r="G39" s="9">
        <v>1488.72</v>
      </c>
      <c r="H39" s="9">
        <v>90.1</v>
      </c>
      <c r="I39" s="9"/>
      <c r="J39" s="9">
        <f t="shared" si="2"/>
        <v>16533.871000000003</v>
      </c>
      <c r="K39" s="9">
        <v>7266.82</v>
      </c>
      <c r="L39" s="9">
        <v>1047.3399999999999</v>
      </c>
      <c r="M39" s="9">
        <v>625.91999999999996</v>
      </c>
      <c r="N39" s="9">
        <v>15132.41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cp:lastPrinted>2026-02-17T00:36:15Z</cp:lastPrinted>
  <dcterms:created xsi:type="dcterms:W3CDTF">2026-02-16T23:19:13Z</dcterms:created>
  <dcterms:modified xsi:type="dcterms:W3CDTF">2026-02-17T00:38:23Z</dcterms:modified>
</cp:coreProperties>
</file>