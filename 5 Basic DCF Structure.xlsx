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1D851FBB-19F5-4740-A86D-7ED24BC1F25E}" xr6:coauthVersionLast="47" xr6:coauthVersionMax="47" xr10:uidLastSave="{00000000-0000-0000-0000-000000000000}"/>
  <bookViews>
    <workbookView xWindow="-120" yWindow="-120" windowWidth="20730" windowHeight="11760" xr2:uid="{F1058F07-682E-41D9-BC79-321BBF32C8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I21" i="1"/>
  <c r="K21" i="1"/>
  <c r="J21" i="1"/>
  <c r="G21" i="1"/>
  <c r="K42" i="1"/>
  <c r="K36" i="1"/>
  <c r="C37" i="1"/>
  <c r="D35" i="1" s="1"/>
  <c r="E28" i="1"/>
  <c r="J42" i="1" s="1"/>
  <c r="G20" i="1"/>
  <c r="J20" i="1"/>
  <c r="H14" i="1"/>
  <c r="K14" i="1" s="1"/>
  <c r="I18" i="1"/>
  <c r="I17" i="1"/>
  <c r="I16" i="1"/>
  <c r="I15" i="1"/>
  <c r="I14" i="1"/>
  <c r="H18" i="1"/>
  <c r="K18" i="1" s="1"/>
  <c r="H17" i="1"/>
  <c r="K17" i="1" s="1"/>
  <c r="H16" i="1"/>
  <c r="K16" i="1" s="1"/>
  <c r="H15" i="1"/>
  <c r="K15" i="1" s="1"/>
  <c r="D36" i="1" l="1"/>
  <c r="D39" i="1" s="1"/>
  <c r="I20" i="1"/>
  <c r="H20" i="1"/>
  <c r="K20" i="1"/>
  <c r="K34" i="1" s="1"/>
  <c r="D37" i="1" l="1"/>
  <c r="E37" i="1" s="1"/>
  <c r="E36" i="1" s="1"/>
  <c r="K43" i="1" l="1"/>
  <c r="E39" i="1"/>
  <c r="K35" i="1" s="1"/>
  <c r="K37" i="1" s="1"/>
  <c r="K28" i="1" s="1"/>
  <c r="K29" i="1" s="1"/>
  <c r="J43" i="1" s="1"/>
  <c r="K44" i="1" s="1"/>
</calcChain>
</file>

<file path=xl/sharedStrings.xml><?xml version="1.0" encoding="utf-8"?>
<sst xmlns="http://schemas.openxmlformats.org/spreadsheetml/2006/main" count="60" uniqueCount="48">
  <si>
    <t>Weighted Average Cost of Capital</t>
  </si>
  <si>
    <t>All figures are in INR unless stated otherwise.</t>
  </si>
  <si>
    <t>Peer Comps</t>
  </si>
  <si>
    <t>Name of the Comp</t>
  </si>
  <si>
    <t>Country</t>
  </si>
  <si>
    <t>Total Debt</t>
  </si>
  <si>
    <t>Total Equity</t>
  </si>
  <si>
    <r>
      <t xml:space="preserve">Tax Rate </t>
    </r>
    <r>
      <rPr>
        <vertAlign val="superscript"/>
        <sz val="11"/>
        <color theme="1"/>
        <rFont val="Calibri"/>
        <family val="2"/>
      </rPr>
      <t>1</t>
    </r>
  </si>
  <si>
    <t>Equity</t>
  </si>
  <si>
    <t>Capital</t>
  </si>
  <si>
    <t>Levered</t>
  </si>
  <si>
    <t>Unlevered</t>
  </si>
  <si>
    <r>
      <t xml:space="preserve">Beta </t>
    </r>
    <r>
      <rPr>
        <vertAlign val="superscript"/>
        <sz val="11"/>
        <color theme="1"/>
        <rFont val="Calibri"/>
        <family val="2"/>
      </rPr>
      <t>2</t>
    </r>
  </si>
  <si>
    <r>
      <t xml:space="preserve">Beta </t>
    </r>
    <r>
      <rPr>
        <vertAlign val="superscript"/>
        <sz val="11"/>
        <color theme="1"/>
        <rFont val="Calibri"/>
        <family val="2"/>
      </rPr>
      <t>3</t>
    </r>
  </si>
  <si>
    <t>Debt /</t>
  </si>
  <si>
    <t>Hind. Unilever</t>
  </si>
  <si>
    <t>India</t>
  </si>
  <si>
    <t>Nestle India</t>
  </si>
  <si>
    <t>Britannia Inds.</t>
  </si>
  <si>
    <t>Godrej Consumer</t>
  </si>
  <si>
    <t>Dabur India</t>
  </si>
  <si>
    <t>Average</t>
  </si>
  <si>
    <t>Median</t>
  </si>
  <si>
    <t>Tax Rate</t>
  </si>
  <si>
    <t>Post Tax Cost of Debt</t>
  </si>
  <si>
    <t>Pre - Tax Cost of Debt</t>
  </si>
  <si>
    <t>Cost of Equity</t>
  </si>
  <si>
    <t>Cost of Debt</t>
  </si>
  <si>
    <t>Risk Free Rate</t>
  </si>
  <si>
    <t>Equity Risk Premium</t>
  </si>
  <si>
    <t>Levered Beta</t>
  </si>
  <si>
    <r>
      <t xml:space="preserve">Levered Beta </t>
    </r>
    <r>
      <rPr>
        <vertAlign val="superscript"/>
        <sz val="11"/>
        <color theme="1"/>
        <rFont val="Calibri"/>
        <family val="2"/>
      </rPr>
      <t>4</t>
    </r>
  </si>
  <si>
    <t>Capital Structure</t>
  </si>
  <si>
    <t xml:space="preserve">Current </t>
  </si>
  <si>
    <t>Target</t>
  </si>
  <si>
    <t>Market Capitalization</t>
  </si>
  <si>
    <t>Total Capital</t>
  </si>
  <si>
    <t>Comps Median Unlivered Beta</t>
  </si>
  <si>
    <t>Target Debt / Equity</t>
  </si>
  <si>
    <t>Debt / Equity</t>
  </si>
  <si>
    <t>Debt</t>
  </si>
  <si>
    <t>Total Cost</t>
  </si>
  <si>
    <t>Total Weight</t>
  </si>
  <si>
    <t>Notes:</t>
  </si>
  <si>
    <t>1. Tax Rate Considered as Marginal Tax Rate for the country</t>
  </si>
  <si>
    <t>2. Levered beta is based on 5 year monthly data</t>
  </si>
  <si>
    <t>3. Unlevered beta = Levered beta/(1+(1-Tax Rate)*Debt/Equity)</t>
  </si>
  <si>
    <t>4. Unlevered beta = Levered beta*(1+(1-Tax Rate)*Debt/Equity)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</si>
</sst>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8" formatCode="0.0"/>
  </numFmts>
  <fonts count="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i/>
      <sz val="10"/>
      <color theme="1"/>
      <name val="Calibri"/>
      <family val="2"/>
    </font>
    <font>
      <vertAlign val="superscript"/>
      <sz val="11"/>
      <color theme="1"/>
      <name val="Calibri"/>
      <family val="2"/>
    </font>
    <font>
      <sz val="11"/>
      <color rgb="FF0000FF"/>
      <name val="Calibri"/>
      <family val="2"/>
    </font>
    <font>
      <i/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3" fillId="2" borderId="0" xfId="0" applyFont="1" applyFill="1"/>
    <xf numFmtId="0" fontId="0" fillId="2" borderId="0" xfId="0" applyFill="1"/>
    <xf numFmtId="9" fontId="4" fillId="0" borderId="0" xfId="1" applyFont="1"/>
    <xf numFmtId="0" fontId="0" fillId="0" borderId="1" xfId="0" applyBorder="1"/>
    <xf numFmtId="0" fontId="0" fillId="0" borderId="2" xfId="0" applyBorder="1"/>
    <xf numFmtId="10" fontId="0" fillId="0" borderId="0" xfId="0" applyNumberFormat="1"/>
    <xf numFmtId="0" fontId="6" fillId="0" borderId="0" xfId="0" applyFont="1"/>
    <xf numFmtId="10" fontId="0" fillId="0" borderId="0" xfId="1" applyNumberFormat="1" applyFont="1"/>
    <xf numFmtId="10" fontId="0" fillId="3" borderId="0" xfId="1" applyNumberFormat="1" applyFont="1" applyFill="1"/>
    <xf numFmtId="2" fontId="0" fillId="3" borderId="0" xfId="1" applyNumberFormat="1" applyFont="1" applyFill="1"/>
    <xf numFmtId="0" fontId="2" fillId="0" borderId="1" xfId="0" applyFont="1" applyBorder="1"/>
    <xf numFmtId="0" fontId="2" fillId="0" borderId="2" xfId="0" applyFont="1" applyBorder="1"/>
    <xf numFmtId="10" fontId="0" fillId="0" borderId="2" xfId="1" applyNumberFormat="1" applyFont="1" applyBorder="1"/>
    <xf numFmtId="2" fontId="0" fillId="0" borderId="1" xfId="0" applyNumberFormat="1" applyBorder="1"/>
    <xf numFmtId="2" fontId="0" fillId="0" borderId="2" xfId="0" applyNumberFormat="1" applyBorder="1"/>
    <xf numFmtId="0" fontId="0" fillId="0" borderId="0" xfId="0" applyBorder="1"/>
    <xf numFmtId="10" fontId="0" fillId="0" borderId="1" xfId="1" applyNumberFormat="1" applyFont="1" applyBorder="1"/>
    <xf numFmtId="10" fontId="6" fillId="0" borderId="0" xfId="1" applyNumberFormat="1" applyFont="1"/>
    <xf numFmtId="10" fontId="0" fillId="0" borderId="1" xfId="0" applyNumberFormat="1" applyBorder="1"/>
    <xf numFmtId="10" fontId="0" fillId="0" borderId="2" xfId="0" applyNumberFormat="1" applyBorder="1"/>
    <xf numFmtId="9" fontId="0" fillId="0" borderId="0" xfId="0" applyNumberFormat="1"/>
    <xf numFmtId="0" fontId="0" fillId="0" borderId="3" xfId="0" applyBorder="1"/>
    <xf numFmtId="10" fontId="0" fillId="0" borderId="3" xfId="0" applyNumberFormat="1" applyBorder="1"/>
    <xf numFmtId="0" fontId="2" fillId="0" borderId="2" xfId="0" applyFont="1" applyBorder="1" applyAlignment="1">
      <alignment horizontal="right"/>
    </xf>
    <xf numFmtId="10" fontId="6" fillId="0" borderId="0" xfId="0" applyNumberFormat="1" applyFont="1"/>
    <xf numFmtId="10" fontId="0" fillId="0" borderId="3" xfId="1" applyNumberFormat="1" applyFont="1" applyBorder="1"/>
    <xf numFmtId="10" fontId="0" fillId="3" borderId="0" xfId="0" applyNumberFormat="1" applyFill="1"/>
    <xf numFmtId="2" fontId="0" fillId="0" borderId="0" xfId="0" applyNumberFormat="1"/>
    <xf numFmtId="10" fontId="0" fillId="3" borderId="3" xfId="0" applyNumberFormat="1" applyFill="1" applyBorder="1"/>
    <xf numFmtId="2" fontId="0" fillId="3" borderId="3" xfId="0" applyNumberFormat="1" applyFill="1" applyBorder="1"/>
    <xf numFmtId="188" fontId="6" fillId="0" borderId="0" xfId="0" applyNumberFormat="1" applyFont="1"/>
    <xf numFmtId="188" fontId="0" fillId="0" borderId="3" xfId="0" applyNumberFormat="1" applyFont="1" applyBorder="1"/>
    <xf numFmtId="0" fontId="7" fillId="0" borderId="0" xfId="0" applyFont="1"/>
    <xf numFmtId="0" fontId="7" fillId="0" borderId="0" xfId="0" applyFont="1" applyAlignment="1">
      <alignment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D5AB-03DF-45B6-8507-909C15B272FA}">
  <dimension ref="B6:P45"/>
  <sheetViews>
    <sheetView showGridLines="0" tabSelected="1" zoomScale="93" workbookViewId="0">
      <selection activeCell="E43" sqref="E43"/>
    </sheetView>
  </sheetViews>
  <sheetFormatPr defaultRowHeight="15" x14ac:dyDescent="0.25"/>
  <cols>
    <col min="1" max="1" width="2.28515625" customWidth="1"/>
    <col min="2" max="2" width="40.28515625" bestFit="1" customWidth="1"/>
    <col min="3" max="3" width="8" bestFit="1" customWidth="1"/>
    <col min="4" max="4" width="10.28515625" bestFit="1" customWidth="1"/>
    <col min="5" max="5" width="11.42578125" bestFit="1" customWidth="1"/>
    <col min="6" max="6" width="9.85546875" bestFit="1" customWidth="1"/>
    <col min="7" max="7" width="15.28515625" customWidth="1"/>
    <col min="8" max="8" width="10.7109375" customWidth="1"/>
    <col min="9" max="9" width="8.140625" bestFit="1" customWidth="1"/>
    <col min="10" max="10" width="10.28515625" bestFit="1" customWidth="1"/>
    <col min="11" max="11" width="10" bestFit="1" customWidth="1"/>
    <col min="12" max="12" width="21.85546875" bestFit="1" customWidth="1"/>
  </cols>
  <sheetData>
    <row r="6" spans="2:16" ht="18.75" x14ac:dyDescent="0.3">
      <c r="B6" s="2" t="s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8" spans="2:16" x14ac:dyDescent="0.25">
      <c r="B8" s="4" t="s">
        <v>1</v>
      </c>
    </row>
    <row r="10" spans="2:16" x14ac:dyDescent="0.25">
      <c r="B10" s="1" t="s">
        <v>2</v>
      </c>
    </row>
    <row r="11" spans="2:16" x14ac:dyDescent="0.25">
      <c r="B11" s="5"/>
      <c r="C11" s="5"/>
      <c r="D11" s="5"/>
      <c r="E11" s="5"/>
      <c r="F11" s="5"/>
      <c r="G11" s="5"/>
      <c r="H11" s="5" t="s">
        <v>14</v>
      </c>
      <c r="I11" s="5" t="s">
        <v>14</v>
      </c>
      <c r="J11" s="5" t="s">
        <v>10</v>
      </c>
      <c r="K11" s="5" t="s">
        <v>11</v>
      </c>
    </row>
    <row r="12" spans="2:16" ht="17.25" x14ac:dyDescent="0.25">
      <c r="B12" s="6" t="s">
        <v>3</v>
      </c>
      <c r="C12" s="6"/>
      <c r="D12" s="6" t="s">
        <v>4</v>
      </c>
      <c r="E12" s="6" t="s">
        <v>5</v>
      </c>
      <c r="F12" s="6" t="s">
        <v>6</v>
      </c>
      <c r="G12" s="6" t="s">
        <v>7</v>
      </c>
      <c r="H12" s="6" t="s">
        <v>8</v>
      </c>
      <c r="I12" s="6" t="s">
        <v>9</v>
      </c>
      <c r="J12" s="6" t="s">
        <v>12</v>
      </c>
      <c r="K12" s="6" t="s">
        <v>13</v>
      </c>
    </row>
    <row r="14" spans="2:16" x14ac:dyDescent="0.25">
      <c r="B14" s="8" t="s">
        <v>15</v>
      </c>
      <c r="C14" s="8"/>
      <c r="D14" s="8" t="s">
        <v>16</v>
      </c>
      <c r="E14" s="32">
        <v>1139</v>
      </c>
      <c r="F14" s="32">
        <v>611503.9</v>
      </c>
      <c r="G14" s="19">
        <v>0.3</v>
      </c>
      <c r="H14" s="10">
        <f>E14/F14</f>
        <v>1.8626209906429051E-3</v>
      </c>
      <c r="I14" s="10">
        <f>E14/(E14+F14)</f>
        <v>1.8591580837711494E-3</v>
      </c>
      <c r="J14" s="8">
        <v>1</v>
      </c>
      <c r="K14" s="11">
        <f>J14/(1+(1-G14)*H14)</f>
        <v>0.99869786307784481</v>
      </c>
    </row>
    <row r="15" spans="2:16" x14ac:dyDescent="0.25">
      <c r="B15" s="8" t="s">
        <v>17</v>
      </c>
      <c r="C15" s="8"/>
      <c r="D15" s="8" t="s">
        <v>16</v>
      </c>
      <c r="E15" s="32">
        <v>279.89999999999998</v>
      </c>
      <c r="F15" s="32">
        <v>182975</v>
      </c>
      <c r="G15" s="19">
        <v>0.3</v>
      </c>
      <c r="H15" s="10">
        <f t="shared" ref="H15:H18" si="0">E15/F15</f>
        <v>1.5297171744773875E-3</v>
      </c>
      <c r="I15" s="10">
        <f t="shared" ref="I15:I18" si="1">E15/(E15+F15)</f>
        <v>1.5273807139672662E-3</v>
      </c>
      <c r="J15" s="8">
        <v>1</v>
      </c>
      <c r="K15" s="11">
        <f t="shared" ref="K15:K18" si="2">J15/(1+(1-G15)*H15)</f>
        <v>0.99893034336834996</v>
      </c>
    </row>
    <row r="16" spans="2:16" x14ac:dyDescent="0.25">
      <c r="B16" s="8" t="s">
        <v>18</v>
      </c>
      <c r="C16" s="8"/>
      <c r="D16" s="8" t="s">
        <v>16</v>
      </c>
      <c r="E16" s="32">
        <v>3037.7</v>
      </c>
      <c r="F16" s="32">
        <v>110690</v>
      </c>
      <c r="G16" s="19">
        <v>0.3</v>
      </c>
      <c r="H16" s="10">
        <f t="shared" si="0"/>
        <v>2.7443310145451257E-2</v>
      </c>
      <c r="I16" s="10">
        <f t="shared" si="1"/>
        <v>2.6710291336235585E-2</v>
      </c>
      <c r="J16" s="8">
        <v>1</v>
      </c>
      <c r="K16" s="11">
        <f t="shared" si="2"/>
        <v>0.98115176349819389</v>
      </c>
    </row>
    <row r="17" spans="2:11" x14ac:dyDescent="0.25">
      <c r="B17" s="8" t="s">
        <v>19</v>
      </c>
      <c r="C17" s="8"/>
      <c r="D17" s="8" t="s">
        <v>16</v>
      </c>
      <c r="E17" s="32">
        <v>1164.5</v>
      </c>
      <c r="F17" s="32">
        <v>96256.4</v>
      </c>
      <c r="G17" s="19">
        <v>0.3</v>
      </c>
      <c r="H17" s="10">
        <f t="shared" si="0"/>
        <v>1.2097896867117408E-2</v>
      </c>
      <c r="I17" s="10">
        <f t="shared" si="1"/>
        <v>1.1953287230974052E-2</v>
      </c>
      <c r="J17" s="8">
        <v>1</v>
      </c>
      <c r="K17" s="11">
        <f t="shared" si="2"/>
        <v>0.99160258592759665</v>
      </c>
    </row>
    <row r="18" spans="2:11" x14ac:dyDescent="0.25">
      <c r="B18" s="8" t="s">
        <v>20</v>
      </c>
      <c r="C18" s="8"/>
      <c r="D18" s="8" t="s">
        <v>16</v>
      </c>
      <c r="E18" s="32">
        <v>1068.0999999999999</v>
      </c>
      <c r="F18" s="32">
        <v>94940.4</v>
      </c>
      <c r="G18" s="19">
        <v>0.3</v>
      </c>
      <c r="H18" s="10">
        <f t="shared" si="0"/>
        <v>1.1250215924938172E-2</v>
      </c>
      <c r="I18" s="10">
        <f t="shared" si="1"/>
        <v>1.1125056635610388E-2</v>
      </c>
      <c r="J18" s="8">
        <v>1</v>
      </c>
      <c r="K18" s="11">
        <f t="shared" si="2"/>
        <v>0.9921863822731507</v>
      </c>
    </row>
    <row r="20" spans="2:11" x14ac:dyDescent="0.25">
      <c r="F20" s="12" t="s">
        <v>21</v>
      </c>
      <c r="G20" s="20">
        <f>AVERAGE(G14:G18)</f>
        <v>0.3</v>
      </c>
      <c r="H20" s="18">
        <f>AVERAGE(H14:H18)</f>
        <v>1.0836752220525426E-2</v>
      </c>
      <c r="I20" s="18">
        <f>AVERAGE(I14:I18)</f>
        <v>1.063503480011169E-2</v>
      </c>
      <c r="J20" s="5">
        <f>AVERAGE(J14:J18)</f>
        <v>1</v>
      </c>
      <c r="K20" s="15">
        <f>AVERAGE(K14:K18)</f>
        <v>0.9925137876290272</v>
      </c>
    </row>
    <row r="21" spans="2:11" x14ac:dyDescent="0.25">
      <c r="F21" s="13" t="s">
        <v>22</v>
      </c>
      <c r="G21" s="21">
        <f>AVERAGE(G15:G19)</f>
        <v>0.3</v>
      </c>
      <c r="H21" s="14">
        <f>AVERAGE(H15:H19)</f>
        <v>1.3080285027996057E-2</v>
      </c>
      <c r="I21" s="14">
        <f>AVERAGE(I15:I19)</f>
        <v>1.2829003979196823E-2</v>
      </c>
      <c r="J21" s="6">
        <f>AVERAGE(J15:J19)</f>
        <v>1</v>
      </c>
      <c r="K21" s="16">
        <f>AVERAGE(K15:K19)</f>
        <v>0.9909677687668228</v>
      </c>
    </row>
    <row r="24" spans="2:11" x14ac:dyDescent="0.25">
      <c r="B24" s="13" t="s">
        <v>27</v>
      </c>
      <c r="C24" s="6"/>
      <c r="D24" s="6"/>
      <c r="E24" s="6"/>
      <c r="G24" s="13" t="s">
        <v>26</v>
      </c>
      <c r="H24" s="6"/>
      <c r="I24" s="6"/>
      <c r="J24" s="6"/>
      <c r="K24" s="6"/>
    </row>
    <row r="26" spans="2:11" x14ac:dyDescent="0.25">
      <c r="B26" t="s">
        <v>25</v>
      </c>
      <c r="E26" s="26">
        <v>8.4000000000000005E-2</v>
      </c>
      <c r="G26" t="s">
        <v>28</v>
      </c>
      <c r="K26" s="26">
        <v>6.5000000000000002E-2</v>
      </c>
    </row>
    <row r="27" spans="2:11" x14ac:dyDescent="0.25">
      <c r="B27" t="s">
        <v>23</v>
      </c>
      <c r="E27" s="26">
        <v>0.3</v>
      </c>
      <c r="G27" t="s">
        <v>29</v>
      </c>
      <c r="K27" s="26">
        <v>0.08</v>
      </c>
    </row>
    <row r="28" spans="2:11" ht="17.25" x14ac:dyDescent="0.25">
      <c r="B28" s="23" t="s">
        <v>24</v>
      </c>
      <c r="C28" s="23"/>
      <c r="D28" s="23"/>
      <c r="E28" s="24">
        <f>E26*(1-E27)</f>
        <v>5.8799999999999998E-2</v>
      </c>
      <c r="G28" t="s">
        <v>31</v>
      </c>
      <c r="K28" s="29">
        <f>K37</f>
        <v>1.5060317907936107</v>
      </c>
    </row>
    <row r="29" spans="2:11" x14ac:dyDescent="0.25">
      <c r="G29" s="23" t="s">
        <v>26</v>
      </c>
      <c r="H29" s="23"/>
      <c r="I29" s="23"/>
      <c r="J29" s="23"/>
      <c r="K29" s="30">
        <f>K26+K27*K28</f>
        <v>0.18548254326348884</v>
      </c>
    </row>
    <row r="32" spans="2:11" x14ac:dyDescent="0.25">
      <c r="B32" s="13" t="s">
        <v>32</v>
      </c>
      <c r="C32" s="13"/>
      <c r="D32" s="13"/>
      <c r="E32" s="6"/>
      <c r="F32" s="17"/>
      <c r="G32" s="13" t="s">
        <v>30</v>
      </c>
      <c r="H32" s="13"/>
      <c r="I32" s="13"/>
      <c r="J32" s="6"/>
      <c r="K32" s="6"/>
    </row>
    <row r="34" spans="2:11" x14ac:dyDescent="0.25">
      <c r="D34" s="25" t="s">
        <v>33</v>
      </c>
      <c r="E34" s="25" t="s">
        <v>34</v>
      </c>
      <c r="G34" t="s">
        <v>37</v>
      </c>
      <c r="K34" s="29">
        <f>K20</f>
        <v>0.9925137876290272</v>
      </c>
    </row>
    <row r="35" spans="2:11" x14ac:dyDescent="0.25">
      <c r="B35" t="s">
        <v>5</v>
      </c>
      <c r="C35" s="32">
        <v>17440</v>
      </c>
      <c r="D35" s="9">
        <f>C35/$C$37</f>
        <v>0.35087013378935722</v>
      </c>
      <c r="E35" s="26">
        <v>0.42499999999999999</v>
      </c>
      <c r="G35" t="s">
        <v>38</v>
      </c>
      <c r="K35" s="7">
        <f>E39</f>
        <v>0.73913043478260876</v>
      </c>
    </row>
    <row r="36" spans="2:11" x14ac:dyDescent="0.25">
      <c r="B36" t="s">
        <v>35</v>
      </c>
      <c r="C36" s="32">
        <v>32265</v>
      </c>
      <c r="D36" s="9">
        <f>C36/$C$37</f>
        <v>0.64912986621064284</v>
      </c>
      <c r="E36" s="7">
        <f>E37-E35</f>
        <v>0.57499999999999996</v>
      </c>
      <c r="G36" t="s">
        <v>23</v>
      </c>
      <c r="K36" s="22">
        <f>E27</f>
        <v>0.3</v>
      </c>
    </row>
    <row r="37" spans="2:11" x14ac:dyDescent="0.25">
      <c r="B37" s="23" t="s">
        <v>36</v>
      </c>
      <c r="C37" s="33">
        <f>SUM(C35:C36)</f>
        <v>49705</v>
      </c>
      <c r="D37" s="27">
        <f>SUM(D35:D36)</f>
        <v>1</v>
      </c>
      <c r="E37" s="27">
        <f>D37</f>
        <v>1</v>
      </c>
      <c r="G37" s="23" t="s">
        <v>30</v>
      </c>
      <c r="H37" s="23"/>
      <c r="I37" s="23"/>
      <c r="J37" s="23"/>
      <c r="K37" s="31">
        <f>K34*(1+(1-K36)*K35)</f>
        <v>1.5060317907936107</v>
      </c>
    </row>
    <row r="39" spans="2:11" x14ac:dyDescent="0.25">
      <c r="B39" t="s">
        <v>39</v>
      </c>
      <c r="D39" s="28">
        <f>D35/D36</f>
        <v>0.54052378738571205</v>
      </c>
      <c r="E39" s="28">
        <f>E35/E36</f>
        <v>0.73913043478260876</v>
      </c>
      <c r="G39" s="13" t="s">
        <v>0</v>
      </c>
      <c r="H39" s="13"/>
      <c r="I39" s="13"/>
      <c r="J39" s="6"/>
      <c r="K39" s="6"/>
    </row>
    <row r="41" spans="2:11" x14ac:dyDescent="0.25">
      <c r="B41" s="34" t="s">
        <v>43</v>
      </c>
      <c r="J41" s="6" t="s">
        <v>41</v>
      </c>
      <c r="K41" s="6" t="s">
        <v>42</v>
      </c>
    </row>
    <row r="42" spans="2:11" x14ac:dyDescent="0.25">
      <c r="B42" s="35" t="s">
        <v>44</v>
      </c>
      <c r="G42" t="s">
        <v>40</v>
      </c>
      <c r="J42" s="7">
        <f>E28</f>
        <v>5.8799999999999998E-2</v>
      </c>
      <c r="K42" s="7">
        <f>E35</f>
        <v>0.42499999999999999</v>
      </c>
    </row>
    <row r="43" spans="2:11" x14ac:dyDescent="0.25">
      <c r="B43" s="35" t="s">
        <v>45</v>
      </c>
      <c r="G43" t="s">
        <v>8</v>
      </c>
      <c r="J43" s="7">
        <f>K29</f>
        <v>0.18548254326348884</v>
      </c>
      <c r="K43" s="7">
        <f>E36</f>
        <v>0.57499999999999996</v>
      </c>
    </row>
    <row r="44" spans="2:11" x14ac:dyDescent="0.25">
      <c r="B44" s="35" t="s">
        <v>46</v>
      </c>
      <c r="G44" s="23" t="s">
        <v>0</v>
      </c>
      <c r="H44" s="23"/>
      <c r="I44" s="23"/>
      <c r="J44" s="23"/>
      <c r="K44" s="27">
        <f>SUMPRODUCT(J42:J43,K42:K43)</f>
        <v>0.13164246237650606</v>
      </c>
    </row>
    <row r="45" spans="2:11" x14ac:dyDescent="0.25">
      <c r="B45" s="35" t="s">
        <v>47</v>
      </c>
    </row>
  </sheetData>
  <pageMargins left="0.7" right="0.7" top="0.75" bottom="0.75" header="0.3" footer="0.3"/>
  <ignoredErrors>
    <ignoredError sqref="G21 J2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Mittal</dc:creator>
  <cp:lastModifiedBy>Harsh Mittal</cp:lastModifiedBy>
  <dcterms:created xsi:type="dcterms:W3CDTF">2026-01-28T17:04:02Z</dcterms:created>
  <dcterms:modified xsi:type="dcterms:W3CDTF">2026-01-28T20:31:45Z</dcterms:modified>
</cp:coreProperties>
</file>