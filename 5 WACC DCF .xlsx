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Financial Modelling\"/>
    </mc:Choice>
  </mc:AlternateContent>
  <xr:revisionPtr revIDLastSave="0" documentId="13_ncr:1_{1B08F3B1-BF59-4017-884C-D4FC26EB4444}" xr6:coauthVersionLast="47" xr6:coauthVersionMax="47" xr10:uidLastSave="{00000000-0000-0000-0000-000000000000}"/>
  <bookViews>
    <workbookView xWindow="-120" yWindow="-120" windowWidth="20730" windowHeight="11760" activeTab="6" xr2:uid="{F1058F07-682E-41D9-BC79-321BBF32C8AE}"/>
  </bookViews>
  <sheets>
    <sheet name="DCF&gt;" sheetId="4" r:id="rId1"/>
    <sheet name="WACC" sheetId="1" r:id="rId2"/>
    <sheet name="Data&gt;" sheetId="2" r:id="rId3"/>
    <sheet name="Beta - Regression" sheetId="3" r:id="rId4"/>
    <sheet name="Beta - Comps" sheetId="5" r:id="rId5"/>
    <sheet name="Rm" sheetId="6" r:id="rId6"/>
    <sheet name="Intrinsic Growth" sheetId="9" r:id="rId7"/>
    <sheet name="HistoricalFS" sheetId="11" r:id="rId8"/>
    <sheet name="Raw FS" sheetId="10" r:id="rId9"/>
    <sheet name="Data Room&gt;" sheetId="7" r:id="rId10"/>
    <sheet name="Data Sheet" sheetId="8" r:id="rId11"/>
  </sheets>
  <externalReferences>
    <externalReference r:id="rId12"/>
  </externalReferences>
  <definedNames>
    <definedName name="_xlnm._FilterDatabase" localSheetId="3" hidden="1">'Beta - Regression'!$B$9:$D$114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7" i="9" l="1"/>
  <c r="K66" i="9"/>
  <c r="I62" i="9"/>
  <c r="J62" i="9"/>
  <c r="K62" i="9"/>
  <c r="H62" i="9"/>
  <c r="H59" i="9"/>
  <c r="I59" i="9"/>
  <c r="J59" i="9"/>
  <c r="K59" i="9"/>
  <c r="G59" i="9"/>
  <c r="K45" i="9"/>
  <c r="J45" i="9"/>
  <c r="I45" i="9"/>
  <c r="H45" i="9"/>
  <c r="G45" i="9"/>
  <c r="G6" i="9"/>
  <c r="G43" i="9" s="1"/>
  <c r="H38" i="9"/>
  <c r="I38" i="9"/>
  <c r="I48" i="9" s="1"/>
  <c r="I50" i="9" s="1"/>
  <c r="J38" i="9"/>
  <c r="J48" i="9" s="1"/>
  <c r="J50" i="9" s="1"/>
  <c r="K38" i="9"/>
  <c r="G38" i="9"/>
  <c r="E62" i="11"/>
  <c r="L61" i="11"/>
  <c r="K61" i="11"/>
  <c r="J61" i="11"/>
  <c r="I61" i="11"/>
  <c r="H61" i="11"/>
  <c r="G61" i="11"/>
  <c r="F61" i="11"/>
  <c r="F62" i="11" s="1"/>
  <c r="F64" i="11" s="1"/>
  <c r="F66" i="11" s="1"/>
  <c r="E61" i="11"/>
  <c r="D61" i="11"/>
  <c r="C61" i="11"/>
  <c r="L60" i="11"/>
  <c r="K60" i="11"/>
  <c r="J60" i="11"/>
  <c r="I60" i="11"/>
  <c r="H60" i="11"/>
  <c r="H62" i="11" s="1"/>
  <c r="H64" i="11" s="1"/>
  <c r="H66" i="11" s="1"/>
  <c r="G60" i="11"/>
  <c r="F60" i="11"/>
  <c r="E60" i="11"/>
  <c r="D60" i="11"/>
  <c r="C60" i="11"/>
  <c r="L59" i="11"/>
  <c r="L62" i="11" s="1"/>
  <c r="K59" i="11"/>
  <c r="K62" i="11" s="1"/>
  <c r="J59" i="11"/>
  <c r="J62" i="11" s="1"/>
  <c r="I59" i="11"/>
  <c r="I62" i="11" s="1"/>
  <c r="H59" i="11"/>
  <c r="G59" i="11"/>
  <c r="G62" i="11" s="1"/>
  <c r="F59" i="11"/>
  <c r="E59" i="11"/>
  <c r="D59" i="11"/>
  <c r="D62" i="11" s="1"/>
  <c r="C59" i="11"/>
  <c r="C62" i="11" s="1"/>
  <c r="L56" i="11"/>
  <c r="K56" i="11"/>
  <c r="J56" i="11"/>
  <c r="I56" i="11"/>
  <c r="H56" i="11"/>
  <c r="G56" i="11"/>
  <c r="F56" i="11"/>
  <c r="E56" i="11"/>
  <c r="D56" i="11"/>
  <c r="C56" i="11"/>
  <c r="L55" i="11"/>
  <c r="K55" i="11"/>
  <c r="J55" i="11"/>
  <c r="I55" i="11"/>
  <c r="H55" i="11"/>
  <c r="G55" i="11"/>
  <c r="F55" i="11"/>
  <c r="E55" i="11"/>
  <c r="D55" i="11"/>
  <c r="C55" i="11"/>
  <c r="L54" i="11"/>
  <c r="K54" i="11"/>
  <c r="J54" i="11"/>
  <c r="I54" i="11"/>
  <c r="H54" i="11"/>
  <c r="G54" i="11"/>
  <c r="F54" i="11"/>
  <c r="E54" i="11"/>
  <c r="D54" i="11"/>
  <c r="C54" i="11"/>
  <c r="L53" i="11"/>
  <c r="L57" i="11" s="1"/>
  <c r="K53" i="11"/>
  <c r="K57" i="11" s="1"/>
  <c r="J53" i="11"/>
  <c r="J57" i="11" s="1"/>
  <c r="I53" i="11"/>
  <c r="I57" i="11" s="1"/>
  <c r="H53" i="11"/>
  <c r="H57" i="11" s="1"/>
  <c r="G53" i="11"/>
  <c r="G57" i="11" s="1"/>
  <c r="F53" i="11"/>
  <c r="F57" i="11" s="1"/>
  <c r="E53" i="11"/>
  <c r="E57" i="11" s="1"/>
  <c r="D53" i="11"/>
  <c r="D57" i="11" s="1"/>
  <c r="C53" i="11"/>
  <c r="C57" i="11" s="1"/>
  <c r="L51" i="11"/>
  <c r="K51" i="11"/>
  <c r="J51" i="11"/>
  <c r="I51" i="11"/>
  <c r="H51" i="11"/>
  <c r="G51" i="11"/>
  <c r="F51" i="11"/>
  <c r="E51" i="11"/>
  <c r="D51" i="11"/>
  <c r="C51" i="11"/>
  <c r="L50" i="11"/>
  <c r="K50" i="11"/>
  <c r="J50" i="11"/>
  <c r="I50" i="11"/>
  <c r="H50" i="11"/>
  <c r="G50" i="11"/>
  <c r="F50" i="11"/>
  <c r="E50" i="11"/>
  <c r="D50" i="11"/>
  <c r="C50" i="11"/>
  <c r="L49" i="11"/>
  <c r="K49" i="11"/>
  <c r="J49" i="11"/>
  <c r="I49" i="11"/>
  <c r="H49" i="11"/>
  <c r="G49" i="11"/>
  <c r="F49" i="11"/>
  <c r="E49" i="11"/>
  <c r="D49" i="11"/>
  <c r="C49" i="11"/>
  <c r="L48" i="11"/>
  <c r="K48" i="11"/>
  <c r="J48" i="11"/>
  <c r="I48" i="11"/>
  <c r="H48" i="11"/>
  <c r="G48" i="11"/>
  <c r="F48" i="11"/>
  <c r="E48" i="11"/>
  <c r="D48" i="11"/>
  <c r="C48" i="11"/>
  <c r="L47" i="11"/>
  <c r="K47" i="11"/>
  <c r="J47" i="11"/>
  <c r="I47" i="11"/>
  <c r="H47" i="11"/>
  <c r="G47" i="11"/>
  <c r="F47" i="11"/>
  <c r="E47" i="11"/>
  <c r="D47" i="11"/>
  <c r="C47" i="11"/>
  <c r="M36" i="11"/>
  <c r="M41" i="11" s="1"/>
  <c r="L36" i="11"/>
  <c r="L41" i="11" s="1"/>
  <c r="K36" i="11"/>
  <c r="K41" i="11" s="1"/>
  <c r="J36" i="11"/>
  <c r="J41" i="11" s="1"/>
  <c r="I36" i="11"/>
  <c r="I41" i="11" s="1"/>
  <c r="H36" i="11"/>
  <c r="H41" i="11" s="1"/>
  <c r="G36" i="11"/>
  <c r="G41" i="11" s="1"/>
  <c r="F36" i="11"/>
  <c r="F41" i="11" s="1"/>
  <c r="E36" i="11"/>
  <c r="E41" i="11" s="1"/>
  <c r="D36" i="11"/>
  <c r="D41" i="11" s="1"/>
  <c r="C36" i="11"/>
  <c r="C41" i="11" s="1"/>
  <c r="M30" i="11"/>
  <c r="L30" i="11"/>
  <c r="K30" i="11"/>
  <c r="J30" i="11"/>
  <c r="I30" i="11"/>
  <c r="H30" i="11"/>
  <c r="G30" i="11"/>
  <c r="F30" i="11"/>
  <c r="E30" i="11"/>
  <c r="D30" i="11"/>
  <c r="C30" i="11"/>
  <c r="J25" i="11"/>
  <c r="I25" i="11"/>
  <c r="M24" i="11"/>
  <c r="M25" i="11" s="1"/>
  <c r="L24" i="11"/>
  <c r="L25" i="11" s="1"/>
  <c r="K24" i="11"/>
  <c r="K25" i="11" s="1"/>
  <c r="J24" i="11"/>
  <c r="I24" i="11"/>
  <c r="H24" i="11"/>
  <c r="H25" i="11" s="1"/>
  <c r="G24" i="11"/>
  <c r="G25" i="11" s="1"/>
  <c r="F24" i="11"/>
  <c r="F25" i="11" s="1"/>
  <c r="E24" i="11"/>
  <c r="E25" i="11" s="1"/>
  <c r="D24" i="11"/>
  <c r="D25" i="11" s="1"/>
  <c r="C24" i="11"/>
  <c r="C25" i="11" s="1"/>
  <c r="H22" i="11"/>
  <c r="G22" i="11"/>
  <c r="M21" i="11"/>
  <c r="M22" i="11" s="1"/>
  <c r="L21" i="11"/>
  <c r="L22" i="11" s="1"/>
  <c r="K21" i="11"/>
  <c r="K22" i="11" s="1"/>
  <c r="J21" i="11"/>
  <c r="J22" i="11" s="1"/>
  <c r="I21" i="11"/>
  <c r="I22" i="11" s="1"/>
  <c r="H21" i="11"/>
  <c r="G21" i="11"/>
  <c r="F21" i="11"/>
  <c r="F22" i="11" s="1"/>
  <c r="E21" i="11"/>
  <c r="E22" i="11" s="1"/>
  <c r="D21" i="11"/>
  <c r="D22" i="11" s="1"/>
  <c r="C21" i="11"/>
  <c r="C22" i="11" s="1"/>
  <c r="M19" i="11"/>
  <c r="M18" i="11"/>
  <c r="M27" i="11" s="1"/>
  <c r="L16" i="11"/>
  <c r="K16" i="11"/>
  <c r="D16" i="11"/>
  <c r="C16" i="11"/>
  <c r="L15" i="11"/>
  <c r="K15" i="11"/>
  <c r="J15" i="11"/>
  <c r="J16" i="11" s="1"/>
  <c r="I15" i="11"/>
  <c r="I16" i="11" s="1"/>
  <c r="H15" i="11"/>
  <c r="H16" i="11" s="1"/>
  <c r="G15" i="11"/>
  <c r="F15" i="11"/>
  <c r="F16" i="11" s="1"/>
  <c r="E15" i="11"/>
  <c r="E16" i="11" s="1"/>
  <c r="D15" i="11"/>
  <c r="C15" i="11"/>
  <c r="L12" i="11"/>
  <c r="L18" i="11" s="1"/>
  <c r="K12" i="11"/>
  <c r="K18" i="11" s="1"/>
  <c r="D12" i="11"/>
  <c r="D18" i="11" s="1"/>
  <c r="C12" i="11"/>
  <c r="C18" i="11" s="1"/>
  <c r="M9" i="11"/>
  <c r="M10" i="11" s="1"/>
  <c r="L9" i="11"/>
  <c r="L10" i="11" s="1"/>
  <c r="K9" i="11"/>
  <c r="K10" i="11" s="1"/>
  <c r="J9" i="11"/>
  <c r="J10" i="11" s="1"/>
  <c r="I9" i="11"/>
  <c r="I10" i="11" s="1"/>
  <c r="H9" i="11"/>
  <c r="H10" i="11" s="1"/>
  <c r="G9" i="11"/>
  <c r="F9" i="11"/>
  <c r="E9" i="11"/>
  <c r="E10" i="11" s="1"/>
  <c r="D9" i="11"/>
  <c r="D10" i="11" s="1"/>
  <c r="C9" i="11"/>
  <c r="C10" i="11" s="1"/>
  <c r="M7" i="11"/>
  <c r="L7" i="11"/>
  <c r="E7" i="11"/>
  <c r="D7" i="11"/>
  <c r="M6" i="11"/>
  <c r="M16" i="11" s="1"/>
  <c r="L6" i="11"/>
  <c r="K6" i="11"/>
  <c r="K7" i="11" s="1"/>
  <c r="J6" i="11"/>
  <c r="J12" i="11" s="1"/>
  <c r="I6" i="11"/>
  <c r="I12" i="11" s="1"/>
  <c r="H6" i="11"/>
  <c r="H12" i="11" s="1"/>
  <c r="G6" i="11"/>
  <c r="H7" i="11" s="1"/>
  <c r="F6" i="11"/>
  <c r="F12" i="11" s="1"/>
  <c r="E6" i="11"/>
  <c r="E12" i="11" s="1"/>
  <c r="D6" i="11"/>
  <c r="C6" i="11"/>
  <c r="L3" i="11"/>
  <c r="K3" i="11"/>
  <c r="J3" i="11"/>
  <c r="I3" i="11"/>
  <c r="H3" i="11"/>
  <c r="G3" i="11"/>
  <c r="F3" i="11"/>
  <c r="E3" i="11"/>
  <c r="D3" i="11"/>
  <c r="C3" i="11"/>
  <c r="B2" i="11"/>
  <c r="H48" i="9" l="1"/>
  <c r="H50" i="9" s="1"/>
  <c r="G48" i="9"/>
  <c r="G50" i="9" s="1"/>
  <c r="K48" i="9"/>
  <c r="K50" i="9" s="1"/>
  <c r="J64" i="11"/>
  <c r="J66" i="11" s="1"/>
  <c r="K64" i="11"/>
  <c r="K66" i="11" s="1"/>
  <c r="D64" i="11"/>
  <c r="D66" i="11" s="1"/>
  <c r="L64" i="11"/>
  <c r="L66" i="11" s="1"/>
  <c r="J18" i="11"/>
  <c r="J13" i="11"/>
  <c r="F18" i="11"/>
  <c r="F13" i="11"/>
  <c r="D19" i="11"/>
  <c r="D27" i="11"/>
  <c r="D31" i="11" s="1"/>
  <c r="C19" i="11"/>
  <c r="C27" i="11"/>
  <c r="C31" i="11" s="1"/>
  <c r="K19" i="11"/>
  <c r="K27" i="11"/>
  <c r="K31" i="11" s="1"/>
  <c r="M33" i="11"/>
  <c r="M31" i="11"/>
  <c r="M28" i="11"/>
  <c r="G64" i="11"/>
  <c r="G66" i="11" s="1"/>
  <c r="E18" i="11"/>
  <c r="E13" i="11"/>
  <c r="H18" i="11"/>
  <c r="H13" i="11"/>
  <c r="L19" i="11"/>
  <c r="L27" i="11"/>
  <c r="L31" i="11" s="1"/>
  <c r="C64" i="11"/>
  <c r="C66" i="11" s="1"/>
  <c r="I13" i="11"/>
  <c r="I18" i="11"/>
  <c r="I64" i="11"/>
  <c r="I66" i="11" s="1"/>
  <c r="E64" i="11"/>
  <c r="E66" i="11" s="1"/>
  <c r="F10" i="11"/>
  <c r="F7" i="11"/>
  <c r="M12" i="11"/>
  <c r="M13" i="11" s="1"/>
  <c r="G7" i="11"/>
  <c r="C13" i="11"/>
  <c r="K13" i="11"/>
  <c r="I7" i="11"/>
  <c r="G12" i="11"/>
  <c r="G16" i="11"/>
  <c r="J7" i="11"/>
  <c r="G10" i="11"/>
  <c r="D13" i="11"/>
  <c r="L13" i="11"/>
  <c r="F19" i="11" l="1"/>
  <c r="F27" i="11"/>
  <c r="H19" i="11"/>
  <c r="H27" i="11"/>
  <c r="E27" i="11"/>
  <c r="E19" i="11"/>
  <c r="M34" i="11"/>
  <c r="M38" i="11"/>
  <c r="G18" i="11"/>
  <c r="G13" i="11"/>
  <c r="K33" i="11"/>
  <c r="K28" i="11"/>
  <c r="D28" i="11"/>
  <c r="D33" i="11"/>
  <c r="J19" i="11"/>
  <c r="J27" i="11"/>
  <c r="L28" i="11"/>
  <c r="L33" i="11"/>
  <c r="I19" i="11"/>
  <c r="I27" i="11"/>
  <c r="C28" i="11"/>
  <c r="C33" i="11"/>
  <c r="J28" i="11" l="1"/>
  <c r="J33" i="11"/>
  <c r="J31" i="11"/>
  <c r="D34" i="11"/>
  <c r="D38" i="11"/>
  <c r="I33" i="11"/>
  <c r="I28" i="11"/>
  <c r="I31" i="11"/>
  <c r="M44" i="11"/>
  <c r="M42" i="11"/>
  <c r="E31" i="11"/>
  <c r="E33" i="11"/>
  <c r="E28" i="11"/>
  <c r="L34" i="11"/>
  <c r="L38" i="11"/>
  <c r="C34" i="11"/>
  <c r="C38" i="11"/>
  <c r="H33" i="11"/>
  <c r="H28" i="11"/>
  <c r="H31" i="11"/>
  <c r="K34" i="11"/>
  <c r="K38" i="11"/>
  <c r="F33" i="11"/>
  <c r="F31" i="11"/>
  <c r="F28" i="11"/>
  <c r="G19" i="11"/>
  <c r="G27" i="11"/>
  <c r="I38" i="11" l="1"/>
  <c r="I34" i="11"/>
  <c r="G33" i="11"/>
  <c r="G28" i="11"/>
  <c r="G31" i="11"/>
  <c r="F34" i="11"/>
  <c r="F38" i="11"/>
  <c r="E34" i="11"/>
  <c r="E38" i="11"/>
  <c r="H38" i="11"/>
  <c r="H34" i="11"/>
  <c r="L44" i="11"/>
  <c r="L39" i="11"/>
  <c r="L42" i="11"/>
  <c r="K44" i="11"/>
  <c r="K39" i="11"/>
  <c r="K42" i="11"/>
  <c r="D39" i="11"/>
  <c r="D42" i="11"/>
  <c r="D44" i="11" s="1"/>
  <c r="C42" i="11"/>
  <c r="C44" i="11" s="1"/>
  <c r="M39" i="11"/>
  <c r="J34" i="11"/>
  <c r="J38" i="11"/>
  <c r="G38" i="11" l="1"/>
  <c r="H39" i="11" s="1"/>
  <c r="G34" i="11"/>
  <c r="H42" i="11"/>
  <c r="H44" i="11" s="1"/>
  <c r="F39" i="11"/>
  <c r="F42" i="11"/>
  <c r="F44" i="11" s="1"/>
  <c r="J44" i="11"/>
  <c r="J39" i="11"/>
  <c r="J42" i="11"/>
  <c r="E39" i="11"/>
  <c r="E42" i="11"/>
  <c r="E44" i="11" s="1"/>
  <c r="I44" i="11"/>
  <c r="I39" i="11"/>
  <c r="I42" i="11"/>
  <c r="G39" i="11" l="1"/>
  <c r="G42" i="11"/>
  <c r="G44" i="11" s="1"/>
  <c r="H34" i="9" l="1"/>
  <c r="I34" i="9"/>
  <c r="J34" i="9"/>
  <c r="K34" i="9"/>
  <c r="G34" i="9"/>
  <c r="G25" i="9"/>
  <c r="H25" i="9"/>
  <c r="I25" i="9"/>
  <c r="J25" i="9"/>
  <c r="K25" i="9"/>
  <c r="G26" i="9"/>
  <c r="H26" i="9"/>
  <c r="I26" i="9"/>
  <c r="J26" i="9"/>
  <c r="K26" i="9"/>
  <c r="G27" i="9"/>
  <c r="H27" i="9"/>
  <c r="I27" i="9"/>
  <c r="J27" i="9"/>
  <c r="K27" i="9"/>
  <c r="G28" i="9"/>
  <c r="H28" i="9"/>
  <c r="I28" i="9"/>
  <c r="J28" i="9"/>
  <c r="K28" i="9"/>
  <c r="G29" i="9"/>
  <c r="H29" i="9"/>
  <c r="I29" i="9"/>
  <c r="J29" i="9"/>
  <c r="K29" i="9"/>
  <c r="G30" i="9"/>
  <c r="H30" i="9"/>
  <c r="I30" i="9"/>
  <c r="J30" i="9"/>
  <c r="K30" i="9"/>
  <c r="G31" i="9"/>
  <c r="H31" i="9"/>
  <c r="I31" i="9"/>
  <c r="J31" i="9"/>
  <c r="K31" i="9"/>
  <c r="H24" i="9"/>
  <c r="I24" i="9"/>
  <c r="J24" i="9"/>
  <c r="K24" i="9"/>
  <c r="G24" i="9"/>
  <c r="B31" i="9"/>
  <c r="B25" i="9"/>
  <c r="B26" i="9"/>
  <c r="B27" i="9"/>
  <c r="B28" i="9"/>
  <c r="B29" i="9"/>
  <c r="B30" i="9"/>
  <c r="B24" i="9"/>
  <c r="H18" i="9"/>
  <c r="I18" i="9"/>
  <c r="J18" i="9"/>
  <c r="K18" i="9"/>
  <c r="G18" i="9"/>
  <c r="H17" i="9"/>
  <c r="I17" i="9"/>
  <c r="J17" i="9"/>
  <c r="K17" i="9"/>
  <c r="G17" i="9"/>
  <c r="H16" i="9"/>
  <c r="I16" i="9"/>
  <c r="J16" i="9"/>
  <c r="K16" i="9"/>
  <c r="G16" i="9"/>
  <c r="B17" i="9"/>
  <c r="B18" i="9"/>
  <c r="B16" i="9"/>
  <c r="G12" i="9"/>
  <c r="H12" i="9"/>
  <c r="I12" i="9"/>
  <c r="J12" i="9"/>
  <c r="K12" i="9"/>
  <c r="H11" i="9"/>
  <c r="I11" i="9"/>
  <c r="J11" i="9"/>
  <c r="K11" i="9"/>
  <c r="G11" i="9"/>
  <c r="G10" i="9"/>
  <c r="H10" i="9"/>
  <c r="I10" i="9"/>
  <c r="J10" i="9"/>
  <c r="K10" i="9"/>
  <c r="H9" i="9"/>
  <c r="I9" i="9"/>
  <c r="J9" i="9"/>
  <c r="K9" i="9"/>
  <c r="G9" i="9"/>
  <c r="B11" i="9"/>
  <c r="B12" i="9"/>
  <c r="B10" i="9"/>
  <c r="B9" i="9"/>
  <c r="H6" i="9"/>
  <c r="H43" i="9" s="1"/>
  <c r="I6" i="9"/>
  <c r="I43" i="9" s="1"/>
  <c r="J6" i="9"/>
  <c r="J43" i="9" s="1"/>
  <c r="K6" i="9"/>
  <c r="K43" i="9" s="1"/>
  <c r="J42" i="1"/>
  <c r="K42" i="1"/>
  <c r="J43" i="1"/>
  <c r="K43" i="1"/>
  <c r="E26" i="1"/>
  <c r="K29" i="1"/>
  <c r="K27" i="1"/>
  <c r="F11" i="6"/>
  <c r="F9" i="6"/>
  <c r="K37" i="1"/>
  <c r="C36" i="1"/>
  <c r="C35" i="1"/>
  <c r="E35" i="1"/>
  <c r="K34" i="1"/>
  <c r="K21" i="1"/>
  <c r="J21" i="1"/>
  <c r="J20" i="1"/>
  <c r="I21" i="1"/>
  <c r="J14" i="1"/>
  <c r="E15" i="1"/>
  <c r="E16" i="1"/>
  <c r="E17" i="1"/>
  <c r="E18" i="1"/>
  <c r="E14" i="1"/>
  <c r="F15" i="1"/>
  <c r="F16" i="1"/>
  <c r="F17" i="1"/>
  <c r="F18" i="1"/>
  <c r="F14" i="1"/>
  <c r="J15" i="3"/>
  <c r="J13" i="3"/>
  <c r="J9" i="3"/>
  <c r="M10" i="3"/>
  <c r="J19" i="9" l="1"/>
  <c r="K19" i="9"/>
  <c r="K33" i="9"/>
  <c r="K35" i="9" s="1"/>
  <c r="J33" i="9"/>
  <c r="J35" i="9" s="1"/>
  <c r="H33" i="9"/>
  <c r="H35" i="9" s="1"/>
  <c r="J13" i="9"/>
  <c r="I33" i="9"/>
  <c r="I35" i="9" s="1"/>
  <c r="I13" i="9"/>
  <c r="G13" i="9"/>
  <c r="H13" i="9"/>
  <c r="G33" i="9"/>
  <c r="G35" i="9" s="1"/>
  <c r="K13" i="9"/>
  <c r="H19" i="9"/>
  <c r="I19" i="9"/>
  <c r="G19" i="9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" i="3"/>
  <c r="G21" i="1"/>
  <c r="K36" i="1"/>
  <c r="C37" i="1"/>
  <c r="D35" i="1" s="1"/>
  <c r="E28" i="1"/>
  <c r="G20" i="1"/>
  <c r="H14" i="1"/>
  <c r="K14" i="1" s="1"/>
  <c r="I18" i="1"/>
  <c r="I17" i="1"/>
  <c r="I16" i="1"/>
  <c r="I15" i="1"/>
  <c r="I14" i="1"/>
  <c r="H18" i="1"/>
  <c r="K18" i="1" s="1"/>
  <c r="H17" i="1"/>
  <c r="K17" i="1" s="1"/>
  <c r="H16" i="1"/>
  <c r="K16" i="1" s="1"/>
  <c r="H15" i="1"/>
  <c r="K15" i="1" s="1"/>
  <c r="K21" i="9" l="1"/>
  <c r="J21" i="9"/>
  <c r="G21" i="9"/>
  <c r="G37" i="9" s="1"/>
  <c r="G40" i="9" s="1"/>
  <c r="I21" i="9"/>
  <c r="H21" i="9"/>
  <c r="H21" i="1"/>
  <c r="M7" i="3"/>
  <c r="M8" i="3"/>
  <c r="D36" i="1"/>
  <c r="D39" i="1" s="1"/>
  <c r="I20" i="1"/>
  <c r="H20" i="1"/>
  <c r="K20" i="1"/>
  <c r="H46" i="9" l="1"/>
  <c r="H52" i="9" s="1"/>
  <c r="H54" i="9" s="1"/>
  <c r="H61" i="9" s="1"/>
  <c r="H64" i="9" s="1"/>
  <c r="I46" i="9"/>
  <c r="I52" i="9" s="1"/>
  <c r="I54" i="9" s="1"/>
  <c r="I61" i="9" s="1"/>
  <c r="I64" i="9" s="1"/>
  <c r="H37" i="9"/>
  <c r="H40" i="9" s="1"/>
  <c r="I37" i="9"/>
  <c r="I40" i="9" s="1"/>
  <c r="J46" i="9"/>
  <c r="J52" i="9" s="1"/>
  <c r="J54" i="9" s="1"/>
  <c r="J61" i="9" s="1"/>
  <c r="J64" i="9" s="1"/>
  <c r="K46" i="9"/>
  <c r="K52" i="9" s="1"/>
  <c r="K54" i="9" s="1"/>
  <c r="K61" i="9" s="1"/>
  <c r="K64" i="9" s="1"/>
  <c r="K37" i="9"/>
  <c r="K40" i="9" s="1"/>
  <c r="J37" i="9"/>
  <c r="J40" i="9" s="1"/>
  <c r="D37" i="1"/>
  <c r="E37" i="1" s="1"/>
  <c r="E36" i="1" s="1"/>
  <c r="K57" i="9" l="1"/>
  <c r="K56" i="9"/>
  <c r="E39" i="1"/>
  <c r="K35" i="1" s="1"/>
  <c r="K28" i="1" s="1"/>
  <c r="K44" i="1" s="1"/>
</calcChain>
</file>

<file path=xl/sharedStrings.xml><?xml version="1.0" encoding="utf-8"?>
<sst xmlns="http://schemas.openxmlformats.org/spreadsheetml/2006/main" count="418" uniqueCount="272">
  <si>
    <t>Weighted Average Cost of Capital</t>
  </si>
  <si>
    <t>All figures are in INR unless stated otherwise.</t>
  </si>
  <si>
    <t>Peer Comps</t>
  </si>
  <si>
    <t>Name of the Comp</t>
  </si>
  <si>
    <t>Country</t>
  </si>
  <si>
    <t>Total Debt</t>
  </si>
  <si>
    <t>Total Equity</t>
  </si>
  <si>
    <r>
      <t xml:space="preserve">Tax Rate </t>
    </r>
    <r>
      <rPr>
        <vertAlign val="superscript"/>
        <sz val="11"/>
        <color theme="1"/>
        <rFont val="Calibri"/>
        <family val="2"/>
      </rPr>
      <t>1</t>
    </r>
  </si>
  <si>
    <t>Equity</t>
  </si>
  <si>
    <t>Capital</t>
  </si>
  <si>
    <t>Levered</t>
  </si>
  <si>
    <t>Unlevered</t>
  </si>
  <si>
    <r>
      <t xml:space="preserve">Beta </t>
    </r>
    <r>
      <rPr>
        <vertAlign val="superscript"/>
        <sz val="11"/>
        <color theme="1"/>
        <rFont val="Calibri"/>
        <family val="2"/>
      </rPr>
      <t>2</t>
    </r>
  </si>
  <si>
    <r>
      <t xml:space="preserve">Beta </t>
    </r>
    <r>
      <rPr>
        <vertAlign val="superscript"/>
        <sz val="11"/>
        <color theme="1"/>
        <rFont val="Calibri"/>
        <family val="2"/>
      </rPr>
      <t>3</t>
    </r>
  </si>
  <si>
    <t>Debt /</t>
  </si>
  <si>
    <t>India</t>
  </si>
  <si>
    <t>Average</t>
  </si>
  <si>
    <t>Median</t>
  </si>
  <si>
    <t>Tax Rate</t>
  </si>
  <si>
    <t>Post Tax Cost of Debt</t>
  </si>
  <si>
    <t>Pre - Tax Cost of Debt</t>
  </si>
  <si>
    <t>Cost of Equity</t>
  </si>
  <si>
    <t>Cost of Debt</t>
  </si>
  <si>
    <t>Risk Free Rate</t>
  </si>
  <si>
    <t>Equity Risk Premium</t>
  </si>
  <si>
    <t>Levered Beta</t>
  </si>
  <si>
    <r>
      <t xml:space="preserve">Levered Beta </t>
    </r>
    <r>
      <rPr>
        <vertAlign val="superscript"/>
        <sz val="11"/>
        <color theme="1"/>
        <rFont val="Calibri"/>
        <family val="2"/>
      </rPr>
      <t>4</t>
    </r>
  </si>
  <si>
    <t>Capital Structure</t>
  </si>
  <si>
    <t xml:space="preserve">Current </t>
  </si>
  <si>
    <t>Target</t>
  </si>
  <si>
    <t>Market Capitalization</t>
  </si>
  <si>
    <t>Total Capital</t>
  </si>
  <si>
    <t>Comps Median Unlivered Beta</t>
  </si>
  <si>
    <t>Target Debt / Equity</t>
  </si>
  <si>
    <t>Debt / Equity</t>
  </si>
  <si>
    <t>Debt</t>
  </si>
  <si>
    <t>Total Cost</t>
  </si>
  <si>
    <t>Total Weight</t>
  </si>
  <si>
    <t>Notes:</t>
  </si>
  <si>
    <t>1. Tax Rate Considered as Marginal Tax Rate for the country</t>
  </si>
  <si>
    <t>2. Levered beta is based on 5 year monthly data</t>
  </si>
  <si>
    <t>3. Unlevered beta = Levered beta/(1+(1-Tax Rate)*Debt/Equity)</t>
  </si>
  <si>
    <t>4. Unlevered beta = Levered beta*(1+(1-Tax Rate)*Debt/Equity)</t>
  </si>
  <si>
    <t>Da</t>
  </si>
  <si>
    <t>Date</t>
  </si>
  <si>
    <t>Closing Price</t>
  </si>
  <si>
    <t>Avenue Supermart Weekly Returns</t>
  </si>
  <si>
    <t xml:space="preserve"> Return</t>
  </si>
  <si>
    <t>Nifty Returns</t>
  </si>
  <si>
    <t xml:space="preserve">Beta 1 </t>
  </si>
  <si>
    <t>Beta 2</t>
  </si>
  <si>
    <t>Beta 3</t>
  </si>
  <si>
    <t>(Slope)</t>
  </si>
  <si>
    <t>(Covariance)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</si>
  <si>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</si>
  <si>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</si>
  <si>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</si>
  <si>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</si>
  <si>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</si>
  <si>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</si>
  <si>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</si>
  <si>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</si>
  <si>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</si>
  <si>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</si>
  <si>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</si>
  <si>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</si>
  <si>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</si>
  <si>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</si>
  <si>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</si>
  <si>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</si>
  <si>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</si>
  <si>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</si>
  <si>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</si>
  <si>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</si>
  <si>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</si>
  <si>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</si>
  <si>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</si>
  <si>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</si>
  <si>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</si>
  <si>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Beta Drifting</t>
  </si>
  <si>
    <t>Levered Raw Beta</t>
  </si>
  <si>
    <t>Raw Beta Weight</t>
  </si>
  <si>
    <t>Market Beta Weight</t>
  </si>
  <si>
    <t>Market Beta</t>
  </si>
  <si>
    <t>Adjusted Beta</t>
  </si>
  <si>
    <t>Regression Beta - 2 Years Weekly</t>
  </si>
  <si>
    <t>S.No.</t>
  </si>
  <si>
    <t>Name</t>
  </si>
  <si>
    <t>CMP Rs.</t>
  </si>
  <si>
    <t>Mar Cap Rs.Cr.</t>
  </si>
  <si>
    <t>Debt Rs.Cr.</t>
  </si>
  <si>
    <t>Debt / Eq</t>
  </si>
  <si>
    <t>Avenue Super.</t>
  </si>
  <si>
    <t>Trent</t>
  </si>
  <si>
    <t>Vedant Fashions</t>
  </si>
  <si>
    <t>Aditya Bir. Fas.</t>
  </si>
  <si>
    <t>Metro Brands</t>
  </si>
  <si>
    <t>Year</t>
  </si>
  <si>
    <t>Annual</t>
  </si>
  <si>
    <t>Return on Markets</t>
  </si>
  <si>
    <t>Average Return</t>
  </si>
  <si>
    <t>Dividend Yield</t>
  </si>
  <si>
    <r>
      <t xml:space="preserve">1.39% </t>
    </r>
    <r>
      <rPr>
        <vertAlign val="superscript"/>
        <sz val="11"/>
        <color theme="1"/>
        <rFont val="Calibri"/>
        <family val="2"/>
      </rPr>
      <t>1</t>
    </r>
  </si>
  <si>
    <t>Total Market Return</t>
  </si>
  <si>
    <t>Interest/debt</t>
  </si>
  <si>
    <t>COMPANY NAME</t>
  </si>
  <si>
    <t>TATA MOTORS LTD</t>
  </si>
  <si>
    <t/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</si>
  <si>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</si>
  <si>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</si>
  <si>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</si>
  <si>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</si>
  <si>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</si>
  <si>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</si>
  <si>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</si>
  <si>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</si>
  <si>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</si>
  <si>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</si>
  <si>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</si>
  <si>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</si>
  <si>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</si>
  <si>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</si>
  <si>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</si>
  <si>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</si>
  <si>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</si>
  <si>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</si>
  <si>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</si>
  <si>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</si>
  <si>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</si>
  <si>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</si>
  <si>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</si>
  <si>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</si>
  <si>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Effective Tax Rate</t>
  </si>
  <si>
    <t>EBITDA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</si>
  <si>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</si>
  <si>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</si>
  <si>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</si>
  <si>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</si>
  <si>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</si>
  <si>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</si>
  <si>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</si>
  <si>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</si>
  <si>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</si>
  <si>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</si>
  <si>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</si>
  <si>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</si>
  <si>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</si>
  <si>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</si>
  <si>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</si>
  <si>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</si>
  <si>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</si>
  <si>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</si>
  <si>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</si>
  <si>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</si>
  <si>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</si>
  <si>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</si>
  <si>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</si>
  <si>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</si>
  <si>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</si>
  <si>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</si>
  <si>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Particulars</t>
  </si>
  <si>
    <t>Equity Capital</t>
  </si>
  <si>
    <t>Borrowings -</t>
  </si>
  <si>
    <t>Long term Borrowings</t>
  </si>
  <si>
    <t>Short term Borrowings</t>
  </si>
  <si>
    <t>Lease Liabilities</t>
  </si>
  <si>
    <t>-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</si>
  <si>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</si>
  <si>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</si>
  <si>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</si>
  <si>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</si>
  <si>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</si>
  <si>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</si>
  <si>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</si>
  <si>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</si>
  <si>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</si>
  <si>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</si>
  <si>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</si>
  <si>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</si>
  <si>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</si>
  <si>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</si>
  <si>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</si>
  <si>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</si>
  <si>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</si>
  <si>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</si>
  <si>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</si>
  <si>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</si>
  <si>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</si>
  <si>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</t>
  </si>
  <si>
    <t>Cash Equivalents</t>
  </si>
  <si>
    <t>Loans n Advances</t>
  </si>
  <si>
    <t>Other asset items</t>
  </si>
  <si>
    <t>Total Assets</t>
  </si>
  <si>
    <t>Cash from Operating Activity -</t>
  </si>
  <si>
    <t>Profit from operations</t>
  </si>
  <si>
    <t>Payables</t>
  </si>
  <si>
    <t>Other WC items</t>
  </si>
  <si>
    <t>Working capital changes</t>
  </si>
  <si>
    <t>Direct taxes</t>
  </si>
  <si>
    <t>Exceptional CF items</t>
  </si>
  <si>
    <t>Cash from Investing Activity 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</si>
  <si>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</si>
  <si>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</si>
  <si>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</si>
  <si>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</si>
  <si>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</si>
  <si>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</si>
  <si>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Redemp n Canc of Shares</t>
  </si>
  <si>
    <t>Acquisition of companies</t>
  </si>
  <si>
    <t>Other investing items</t>
  </si>
  <si>
    <t>Cash from Financing Activity -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</si>
  <si>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</si>
  <si>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</si>
  <si>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</si>
  <si>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</si>
  <si>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</si>
  <si>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</si>
  <si>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Calculation of ROIC</t>
  </si>
  <si>
    <t>Current Assets</t>
  </si>
  <si>
    <t>Total Current Assets</t>
  </si>
  <si>
    <t>Current Liabilities</t>
  </si>
  <si>
    <t>Total Current Liabilities</t>
  </si>
  <si>
    <t>Net Working Capital</t>
  </si>
  <si>
    <t>#</t>
  </si>
  <si>
    <t>Non Current Liabilities</t>
  </si>
  <si>
    <t>Net Non Current Assets</t>
  </si>
  <si>
    <t>Invested Capital</t>
  </si>
  <si>
    <t>EBIT</t>
  </si>
  <si>
    <t>Years</t>
  </si>
  <si>
    <t>LTM</t>
  </si>
  <si>
    <t>Income Statement</t>
  </si>
  <si>
    <t>Sales Growth</t>
  </si>
  <si>
    <t>COGS</t>
  </si>
  <si>
    <t>GOGS % Sales</t>
  </si>
  <si>
    <t xml:space="preserve">Gross Profit </t>
  </si>
  <si>
    <t>Selling &amp; General Expenses</t>
  </si>
  <si>
    <t>S&amp;G Exp % Sales</t>
  </si>
  <si>
    <t>EBITDA Margins</t>
  </si>
  <si>
    <t>Interst</t>
  </si>
  <si>
    <t>Interest % Sales</t>
  </si>
  <si>
    <t>Depreciation % Sales</t>
  </si>
  <si>
    <t>EBT</t>
  </si>
  <si>
    <t>EBT % Sales</t>
  </si>
  <si>
    <t>Net Profit</t>
  </si>
  <si>
    <t>Net Margins</t>
  </si>
  <si>
    <t>No. of Equity Share</t>
  </si>
  <si>
    <t>Earning Per Share</t>
  </si>
  <si>
    <t>EPS Growth %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</si>
  <si>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</si>
  <si>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</si>
  <si>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</si>
  <si>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</si>
  <si>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</si>
  <si>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</si>
  <si>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Check</t>
  </si>
  <si>
    <t>Cash Flow Statement</t>
  </si>
  <si>
    <t>Cash from Operating Activities</t>
  </si>
  <si>
    <t>Cash from Investing Activities</t>
  </si>
  <si>
    <t>Cash from Financing Activities</t>
  </si>
  <si>
    <t>ROIC</t>
  </si>
  <si>
    <t>Calculation of Reinvestment Rate</t>
  </si>
  <si>
    <t>Net Capex</t>
  </si>
  <si>
    <t>Change in Working Capital</t>
  </si>
  <si>
    <t>Marginal Tax Rate</t>
  </si>
  <si>
    <t>Reivestment</t>
  </si>
  <si>
    <t>EBIT(1-T)</t>
  </si>
  <si>
    <t xml:space="preserve">Reivestment Rate </t>
  </si>
  <si>
    <t>4 Year Average</t>
  </si>
  <si>
    <t>4 Year Median</t>
  </si>
  <si>
    <t>Calculation of Growth Rate</t>
  </si>
  <si>
    <t>Reinvestment Rate</t>
  </si>
  <si>
    <t>Intrinsic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</si>
</sst>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#,##0.0"/>
    <numFmt numFmtId="169" formatCode="_ * #,##0.00_ ;_ * \-#,##0.00_ ;_ * &quot;-&quot;??_ ;_ @_ "/>
    <numFmt numFmtId="170" formatCode="[$-409]mmm\-yy;@"/>
    <numFmt numFmtId="171" formatCode="&quot;₹&quot;\ #,##0.0;\(&quot;₹&quot;\ #,##0.0\);\-"/>
    <numFmt numFmtId="172" formatCode="&quot;₹&quot;\ #,##0.00"/>
    <numFmt numFmtId="182" formatCode="#,##0.0;\(#,##0.0\)\-"/>
    <numFmt numFmtId="183" formatCode="#,##0.0;\(#,##0.0\)"/>
  </numFmts>
  <fonts count="20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i/>
      <sz val="10"/>
      <color theme="1"/>
      <name val="Calibri"/>
      <family val="2"/>
    </font>
    <font>
      <vertAlign val="superscript"/>
      <sz val="11"/>
      <color theme="1"/>
      <name val="Calibri"/>
      <family val="2"/>
    </font>
    <font>
      <sz val="11"/>
      <color rgb="FF0000FF"/>
      <name val="Calibri"/>
      <family val="2"/>
    </font>
    <font>
      <i/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1"/>
      <color theme="1"/>
      <name val="Arial Narrow"/>
      <family val="2"/>
    </font>
    <font>
      <i/>
      <sz val="11"/>
      <color theme="1" tint="0.24997711111789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medium">
        <color rgb="FF1E4E79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rgb="FF002060"/>
      </top>
      <bottom/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thin">
        <color rgb="FF002060"/>
      </top>
      <bottom style="medium">
        <color rgb="FF00206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9" fontId="12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6" fillId="5" borderId="0" applyNumberFormat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18" fillId="0" borderId="0"/>
  </cellStyleXfs>
  <cellXfs count="11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9" fontId="4" fillId="0" borderId="0" xfId="1" applyFont="1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6" fillId="0" borderId="0" xfId="0" applyFont="1"/>
    <xf numFmtId="10" fontId="0" fillId="0" borderId="0" xfId="1" applyNumberFormat="1" applyFont="1"/>
    <xf numFmtId="10" fontId="0" fillId="3" borderId="0" xfId="1" applyNumberFormat="1" applyFont="1" applyFill="1"/>
    <xf numFmtId="2" fontId="0" fillId="3" borderId="0" xfId="1" applyNumberFormat="1" applyFont="1" applyFill="1"/>
    <xf numFmtId="0" fontId="2" fillId="0" borderId="1" xfId="0" applyFont="1" applyBorder="1"/>
    <xf numFmtId="0" fontId="2" fillId="0" borderId="2" xfId="0" applyFont="1" applyBorder="1"/>
    <xf numFmtId="10" fontId="0" fillId="0" borderId="2" xfId="1" applyNumberFormat="1" applyFont="1" applyBorder="1"/>
    <xf numFmtId="2" fontId="0" fillId="0" borderId="1" xfId="0" applyNumberFormat="1" applyBorder="1"/>
    <xf numFmtId="10" fontId="0" fillId="0" borderId="1" xfId="1" applyNumberFormat="1" applyFont="1" applyBorder="1"/>
    <xf numFmtId="10" fontId="6" fillId="0" borderId="0" xfId="1" applyNumberFormat="1" applyFont="1"/>
    <xf numFmtId="10" fontId="0" fillId="0" borderId="1" xfId="0" applyNumberFormat="1" applyBorder="1"/>
    <xf numFmtId="10" fontId="0" fillId="0" borderId="2" xfId="0" applyNumberFormat="1" applyBorder="1"/>
    <xf numFmtId="9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2" fillId="0" borderId="2" xfId="0" applyFont="1" applyBorder="1" applyAlignment="1">
      <alignment horizontal="right"/>
    </xf>
    <xf numFmtId="10" fontId="6" fillId="0" borderId="0" xfId="0" applyNumberFormat="1" applyFont="1"/>
    <xf numFmtId="10" fontId="0" fillId="0" borderId="3" xfId="1" applyNumberFormat="1" applyFont="1" applyBorder="1"/>
    <xf numFmtId="10" fontId="0" fillId="3" borderId="0" xfId="0" applyNumberFormat="1" applyFill="1"/>
    <xf numFmtId="2" fontId="0" fillId="0" borderId="0" xfId="0" applyNumberFormat="1"/>
    <xf numFmtId="10" fontId="0" fillId="3" borderId="3" xfId="0" applyNumberFormat="1" applyFill="1" applyBorder="1"/>
    <xf numFmtId="2" fontId="0" fillId="3" borderId="3" xfId="0" applyNumberFormat="1" applyFill="1" applyBorder="1"/>
    <xf numFmtId="164" fontId="6" fillId="0" borderId="0" xfId="0" applyNumberFormat="1" applyFont="1"/>
    <xf numFmtId="164" fontId="0" fillId="0" borderId="3" xfId="0" applyNumberFormat="1" applyBorder="1"/>
    <xf numFmtId="0" fontId="7" fillId="0" borderId="0" xfId="0" applyFont="1"/>
    <xf numFmtId="0" fontId="7" fillId="0" borderId="0" xfId="0" applyFont="1" applyAlignment="1">
      <alignment vertical="top"/>
    </xf>
    <xf numFmtId="0" fontId="2" fillId="0" borderId="4" xfId="0" applyFont="1" applyBorder="1" applyAlignment="1">
      <alignment wrapText="1"/>
    </xf>
    <xf numFmtId="0" fontId="0" fillId="0" borderId="0" xfId="0" applyAlignment="1">
      <alignment wrapText="1"/>
    </xf>
    <xf numFmtId="0" fontId="2" fillId="0" borderId="4" xfId="0" applyFont="1" applyBorder="1" applyAlignment="1">
      <alignment horizontal="right"/>
    </xf>
    <xf numFmtId="2" fontId="0" fillId="0" borderId="2" xfId="0" applyNumberFormat="1" applyBorder="1"/>
    <xf numFmtId="2" fontId="0" fillId="3" borderId="0" xfId="0" applyNumberFormat="1" applyFill="1"/>
    <xf numFmtId="0" fontId="0" fillId="3" borderId="0" xfId="0" applyFill="1"/>
    <xf numFmtId="165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0" fontId="9" fillId="0" borderId="0" xfId="0" applyFont="1"/>
    <xf numFmtId="0" fontId="0" fillId="0" borderId="5" xfId="0" applyBorder="1"/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Continuous"/>
    </xf>
    <xf numFmtId="0" fontId="2" fillId="0" borderId="5" xfId="0" applyFont="1" applyBorder="1"/>
    <xf numFmtId="1" fontId="0" fillId="0" borderId="0" xfId="0" applyNumberFormat="1"/>
    <xf numFmtId="0" fontId="0" fillId="0" borderId="0" xfId="0" applyAlignment="1">
      <alignment horizontal="right" wrapText="1"/>
    </xf>
    <xf numFmtId="2" fontId="6" fillId="0" borderId="0" xfId="0" applyNumberFormat="1" applyFont="1"/>
    <xf numFmtId="0" fontId="2" fillId="0" borderId="3" xfId="0" applyFont="1" applyBorder="1"/>
    <xf numFmtId="10" fontId="2" fillId="0" borderId="3" xfId="1" applyNumberFormat="1" applyFont="1" applyBorder="1"/>
    <xf numFmtId="0" fontId="8" fillId="4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9" fontId="17" fillId="5" borderId="0" xfId="4" applyNumberFormat="1" applyFont="1" applyBorder="1" applyAlignment="1">
      <alignment horizontal="center"/>
    </xf>
    <xf numFmtId="169" fontId="14" fillId="0" borderId="0" xfId="3" applyNumberFormat="1" applyFont="1" applyBorder="1" applyAlignment="1" applyProtection="1">
      <alignment horizontal="center"/>
    </xf>
    <xf numFmtId="0" fontId="0" fillId="0" borderId="0" xfId="0"/>
    <xf numFmtId="169" fontId="13" fillId="0" borderId="0" xfId="2" applyFont="1" applyBorder="1"/>
    <xf numFmtId="169" fontId="15" fillId="0" borderId="0" xfId="2" applyFont="1" applyBorder="1"/>
    <xf numFmtId="0" fontId="15" fillId="0" borderId="0" xfId="5" applyFont="1"/>
    <xf numFmtId="170" fontId="17" fillId="6" borderId="0" xfId="2" applyNumberFormat="1" applyFont="1" applyFill="1" applyBorder="1"/>
    <xf numFmtId="170" fontId="17" fillId="6" borderId="0" xfId="5" applyNumberFormat="1" applyFont="1" applyFill="1" applyAlignment="1">
      <alignment horizontal="center"/>
    </xf>
    <xf numFmtId="0" fontId="12" fillId="0" borderId="0" xfId="5"/>
    <xf numFmtId="9" fontId="15" fillId="0" borderId="0" xfId="6" applyFont="1" applyBorder="1"/>
    <xf numFmtId="0" fontId="18" fillId="0" borderId="0" xfId="7"/>
    <xf numFmtId="43" fontId="15" fillId="0" borderId="0" xfId="2" applyNumberFormat="1" applyFont="1" applyBorder="1"/>
    <xf numFmtId="171" fontId="0" fillId="0" borderId="0" xfId="0" applyNumberFormat="1"/>
    <xf numFmtId="172" fontId="0" fillId="0" borderId="0" xfId="0" applyNumberFormat="1"/>
    <xf numFmtId="17" fontId="0" fillId="0" borderId="0" xfId="0" applyNumberFormat="1" applyAlignment="1">
      <alignment horizontal="right"/>
    </xf>
    <xf numFmtId="0" fontId="8" fillId="4" borderId="0" xfId="0" applyFont="1" applyFill="1"/>
    <xf numFmtId="17" fontId="8" fillId="4" borderId="0" xfId="0" applyNumberFormat="1" applyFont="1" applyFill="1"/>
    <xf numFmtId="17" fontId="8" fillId="4" borderId="0" xfId="0" applyNumberFormat="1" applyFont="1" applyFill="1" applyAlignment="1">
      <alignment horizontal="right"/>
    </xf>
    <xf numFmtId="0" fontId="19" fillId="0" borderId="0" xfId="0" applyFont="1"/>
    <xf numFmtId="10" fontId="19" fillId="0" borderId="0" xfId="1" applyNumberFormat="1" applyFont="1"/>
    <xf numFmtId="0" fontId="2" fillId="7" borderId="0" xfId="0" applyFont="1" applyFill="1"/>
    <xf numFmtId="0" fontId="0" fillId="7" borderId="0" xfId="0" applyFill="1"/>
    <xf numFmtId="0" fontId="8" fillId="0" borderId="0" xfId="0" applyFont="1"/>
    <xf numFmtId="17" fontId="8" fillId="0" borderId="0" xfId="0" applyNumberFormat="1" applyFont="1"/>
    <xf numFmtId="17" fontId="8" fillId="0" borderId="0" xfId="0" applyNumberFormat="1" applyFont="1" applyAlignment="1">
      <alignment horizontal="right"/>
    </xf>
    <xf numFmtId="10" fontId="0" fillId="0" borderId="0" xfId="1" applyNumberFormat="1" applyFont="1"/>
    <xf numFmtId="0" fontId="2" fillId="0" borderId="0" xfId="0" applyFont="1"/>
    <xf numFmtId="171" fontId="2" fillId="0" borderId="0" xfId="0" applyNumberFormat="1" applyFont="1"/>
    <xf numFmtId="0" fontId="10" fillId="0" borderId="0" xfId="0" applyFont="1"/>
    <xf numFmtId="0" fontId="2" fillId="0" borderId="7" xfId="0" applyFont="1" applyBorder="1"/>
    <xf numFmtId="171" fontId="2" fillId="0" borderId="7" xfId="0" applyNumberFormat="1" applyFont="1" applyBorder="1"/>
    <xf numFmtId="172" fontId="2" fillId="0" borderId="7" xfId="0" applyNumberFormat="1" applyFont="1" applyBorder="1"/>
    <xf numFmtId="165" fontId="0" fillId="0" borderId="0" xfId="0" applyNumberFormat="1"/>
    <xf numFmtId="0" fontId="2" fillId="0" borderId="9" xfId="0" applyFont="1" applyBorder="1"/>
    <xf numFmtId="0" fontId="0" fillId="0" borderId="7" xfId="0" applyBorder="1"/>
    <xf numFmtId="0" fontId="2" fillId="0" borderId="10" xfId="0" applyFont="1" applyBorder="1"/>
    <xf numFmtId="165" fontId="0" fillId="0" borderId="7" xfId="0" applyNumberFormat="1" applyBorder="1"/>
    <xf numFmtId="165" fontId="0" fillId="0" borderId="8" xfId="0" applyNumberFormat="1" applyBorder="1"/>
    <xf numFmtId="165" fontId="2" fillId="0" borderId="10" xfId="0" applyNumberFormat="1" applyFont="1" applyBorder="1"/>
    <xf numFmtId="165" fontId="0" fillId="0" borderId="11" xfId="0" applyNumberFormat="1" applyBorder="1"/>
    <xf numFmtId="165" fontId="2" fillId="0" borderId="0" xfId="0" applyNumberFormat="1" applyFont="1"/>
    <xf numFmtId="165" fontId="2" fillId="0" borderId="9" xfId="0" applyNumberFormat="1" applyFont="1" applyBorder="1"/>
    <xf numFmtId="0" fontId="9" fillId="4" borderId="0" xfId="0" applyFont="1" applyFill="1" applyAlignment="1"/>
    <xf numFmtId="0" fontId="2" fillId="0" borderId="12" xfId="0" applyFont="1" applyBorder="1"/>
    <xf numFmtId="0" fontId="0" fillId="0" borderId="0" xfId="0" applyBorder="1"/>
    <xf numFmtId="0" fontId="2" fillId="0" borderId="0" xfId="0" applyFont="1" applyFill="1" applyBorder="1"/>
    <xf numFmtId="10" fontId="2" fillId="0" borderId="9" xfId="1" applyNumberFormat="1" applyFont="1" applyBorder="1"/>
    <xf numFmtId="165" fontId="0" fillId="0" borderId="7" xfId="0" applyNumberFormat="1" applyBorder="1" applyAlignment="1">
      <alignment horizontal="right"/>
    </xf>
    <xf numFmtId="182" fontId="0" fillId="0" borderId="0" xfId="0" applyNumberFormat="1"/>
    <xf numFmtId="183" fontId="0" fillId="0" borderId="7" xfId="0" applyNumberFormat="1" applyBorder="1"/>
    <xf numFmtId="183" fontId="0" fillId="0" borderId="0" xfId="0" applyNumberFormat="1"/>
    <xf numFmtId="183" fontId="2" fillId="0" borderId="9" xfId="0" applyNumberFormat="1" applyFont="1" applyBorder="1"/>
    <xf numFmtId="183" fontId="2" fillId="0" borderId="12" xfId="0" applyNumberFormat="1" applyFont="1" applyBorder="1"/>
    <xf numFmtId="183" fontId="0" fillId="0" borderId="0" xfId="0" applyNumberFormat="1" applyBorder="1"/>
    <xf numFmtId="183" fontId="2" fillId="0" borderId="0" xfId="0" applyNumberFormat="1" applyFont="1"/>
    <xf numFmtId="10" fontId="6" fillId="0" borderId="7" xfId="1" applyNumberFormat="1" applyFont="1" applyBorder="1"/>
    <xf numFmtId="10" fontId="2" fillId="0" borderId="12" xfId="1" applyNumberFormat="1" applyFont="1" applyBorder="1"/>
    <xf numFmtId="10" fontId="0" fillId="0" borderId="7" xfId="0" applyNumberFormat="1" applyBorder="1"/>
    <xf numFmtId="10" fontId="2" fillId="0" borderId="12" xfId="0" applyNumberFormat="1" applyFont="1" applyBorder="1"/>
    <xf numFmtId="0" fontId="2" fillId="3" borderId="0" xfId="0" applyFont="1" applyFill="1"/>
    <xf numFmtId="10" fontId="2" fillId="3" borderId="0" xfId="0" applyNumberFormat="1" applyFont="1" applyFill="1"/>
  </cellXfs>
  <cellStyles count="8">
    <cellStyle name="Accent6 2" xfId="4" xr:uid="{C3219D88-7A2C-4A71-B08B-4F2BC932D623}"/>
    <cellStyle name="Comma 2" xfId="2" xr:uid="{9A7EC15F-DC9B-4F18-A9D6-AA5B29A45FBB}"/>
    <cellStyle name="Hyperlink 2" xfId="3" xr:uid="{C62C183C-E6F7-4726-9EC8-EF30D4205002}"/>
    <cellStyle name="Normal" xfId="0" builtinId="0"/>
    <cellStyle name="Normal 2" xfId="7" xr:uid="{F595F5DE-77EB-4AF1-B1D5-29C739B72F95}"/>
    <cellStyle name="Normal 3" xfId="5" xr:uid="{E28B9EDE-8E68-4948-8F83-D93231C9A1E7}"/>
    <cellStyle name="Percent" xfId="1" builtinId="5"/>
    <cellStyle name="Percent 3" xfId="6" xr:uid="{21DA61B2-A6C0-4FC6-ACC6-B9E926DE977E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esktop\Financial%20Modelling\3%20TATA%20MO-%20Ratio%20Analysis.xlsx" TargetMode="External"/><Relationship Id="rId1" Type="http://schemas.openxmlformats.org/officeDocument/2006/relationships/externalLinkPath" Target="3%20TATA%20MO-%20Ratio%20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&gt;"/>
      <sheetName val="HistoricalFS"/>
      <sheetName val="Ratio"/>
      <sheetName val="Data&gt;"/>
      <sheetName val="Data Sheet"/>
      <sheetName val="Cash Flow Data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B1" t="str">
            <v>TATA MOTORS LTD</v>
          </cell>
        </row>
        <row r="17">
          <cell r="B17">
            <v>188792.69</v>
          </cell>
          <cell r="C17">
            <v>232833.66</v>
          </cell>
          <cell r="D17">
            <v>263158.98</v>
          </cell>
          <cell r="E17">
            <v>273045.59999999998</v>
          </cell>
          <cell r="F17">
            <v>269692.51</v>
          </cell>
          <cell r="G17">
            <v>291550.48</v>
          </cell>
          <cell r="H17">
            <v>301938.40000000002</v>
          </cell>
          <cell r="I17">
            <v>261067.97</v>
          </cell>
          <cell r="J17">
            <v>249794.75</v>
          </cell>
          <cell r="K17">
            <v>278453.62</v>
          </cell>
        </row>
        <row r="18">
          <cell r="B18">
            <v>123117.34</v>
          </cell>
          <cell r="C18">
            <v>146426.99</v>
          </cell>
          <cell r="D18">
            <v>163250.35999999999</v>
          </cell>
          <cell r="E18">
            <v>166134.01</v>
          </cell>
          <cell r="F18">
            <v>173294.07999999999</v>
          </cell>
          <cell r="G18">
            <v>187896.58</v>
          </cell>
          <cell r="H18">
            <v>194267.91</v>
          </cell>
          <cell r="I18">
            <v>164899.82</v>
          </cell>
          <cell r="J18">
            <v>153607.35999999999</v>
          </cell>
          <cell r="K18">
            <v>179295.33</v>
          </cell>
        </row>
        <row r="19">
          <cell r="B19">
            <v>3029.29</v>
          </cell>
          <cell r="C19">
            <v>2840.58</v>
          </cell>
          <cell r="D19">
            <v>3330.35</v>
          </cell>
          <cell r="E19">
            <v>2750.99</v>
          </cell>
          <cell r="F19">
            <v>7399.92</v>
          </cell>
          <cell r="G19">
            <v>2046.58</v>
          </cell>
          <cell r="H19">
            <v>-2053.2800000000002</v>
          </cell>
          <cell r="I19">
            <v>-2231.19</v>
          </cell>
          <cell r="J19">
            <v>-4684.16</v>
          </cell>
          <cell r="K19">
            <v>-1590.49</v>
          </cell>
        </row>
        <row r="20">
          <cell r="B20">
            <v>1077.77</v>
          </cell>
          <cell r="C20">
            <v>1128.69</v>
          </cell>
          <cell r="D20">
            <v>1121.75</v>
          </cell>
          <cell r="E20">
            <v>1143.6300000000001</v>
          </cell>
          <cell r="F20">
            <v>1159.82</v>
          </cell>
          <cell r="G20">
            <v>1308.08</v>
          </cell>
          <cell r="H20">
            <v>1585.93</v>
          </cell>
          <cell r="I20">
            <v>1264.95</v>
          </cell>
          <cell r="J20">
            <v>1112.8699999999999</v>
          </cell>
          <cell r="K20">
            <v>2178.29</v>
          </cell>
        </row>
        <row r="21">
          <cell r="B21">
            <v>4440.7299999999996</v>
          </cell>
          <cell r="C21">
            <v>13806.04</v>
          </cell>
          <cell r="D21">
            <v>16173.17</v>
          </cell>
          <cell r="E21">
            <v>12101.53</v>
          </cell>
          <cell r="F21">
            <v>10067.370000000001</v>
          </cell>
          <cell r="G21">
            <v>10971.66</v>
          </cell>
          <cell r="H21">
            <v>11694.54</v>
          </cell>
          <cell r="I21">
            <v>11541.51</v>
          </cell>
          <cell r="J21">
            <v>8273.17</v>
          </cell>
          <cell r="K21">
            <v>9427.3799999999992</v>
          </cell>
        </row>
        <row r="22">
          <cell r="B22">
            <v>16632.189999999999</v>
          </cell>
          <cell r="C22">
            <v>21609.919999999998</v>
          </cell>
          <cell r="D22">
            <v>25641.95</v>
          </cell>
          <cell r="E22">
            <v>28880.89</v>
          </cell>
          <cell r="F22">
            <v>28332.89</v>
          </cell>
          <cell r="G22">
            <v>30300.09</v>
          </cell>
          <cell r="H22">
            <v>33243.870000000003</v>
          </cell>
          <cell r="I22">
            <v>30438.6</v>
          </cell>
          <cell r="J22">
            <v>27648.48</v>
          </cell>
          <cell r="K22">
            <v>30808.52</v>
          </cell>
        </row>
        <row r="23">
          <cell r="B23">
            <v>16632.91</v>
          </cell>
          <cell r="C23">
            <v>22357.79</v>
          </cell>
          <cell r="D23">
            <v>23603.01</v>
          </cell>
          <cell r="E23">
            <v>21991.9</v>
          </cell>
          <cell r="F23">
            <v>30039.38</v>
          </cell>
          <cell r="G23">
            <v>31004.58</v>
          </cell>
          <cell r="H23">
            <v>32719.8</v>
          </cell>
          <cell r="I23">
            <v>29248.32</v>
          </cell>
          <cell r="J23">
            <v>23015.79</v>
          </cell>
          <cell r="K23">
            <v>29205.4</v>
          </cell>
        </row>
        <row r="24">
          <cell r="B24">
            <v>5325.06</v>
          </cell>
          <cell r="C24">
            <v>-4508.55</v>
          </cell>
          <cell r="D24">
            <v>-2539.56</v>
          </cell>
          <cell r="E24">
            <v>7149.38</v>
          </cell>
          <cell r="F24">
            <v>4610.2</v>
          </cell>
          <cell r="G24">
            <v>658.39</v>
          </cell>
          <cell r="H24">
            <v>1708.74</v>
          </cell>
          <cell r="I24">
            <v>3456.51</v>
          </cell>
          <cell r="J24">
            <v>-834.51</v>
          </cell>
          <cell r="K24">
            <v>1228.1199999999999</v>
          </cell>
        </row>
        <row r="26">
          <cell r="B26">
            <v>7601.28</v>
          </cell>
          <cell r="C26">
            <v>11078.16</v>
          </cell>
          <cell r="D26">
            <v>13388.63</v>
          </cell>
          <cell r="E26">
            <v>16710.78</v>
          </cell>
          <cell r="F26">
            <v>17904.990000000002</v>
          </cell>
          <cell r="G26">
            <v>21553.59</v>
          </cell>
          <cell r="H26">
            <v>23590.63</v>
          </cell>
          <cell r="I26">
            <v>21425.43</v>
          </cell>
          <cell r="J26">
            <v>23546.71</v>
          </cell>
          <cell r="K26">
            <v>24835.69</v>
          </cell>
        </row>
        <row r="27">
          <cell r="B27">
            <v>3560.25</v>
          </cell>
          <cell r="C27">
            <v>4749.4399999999996</v>
          </cell>
          <cell r="D27">
            <v>4861.49</v>
          </cell>
          <cell r="E27">
            <v>4889.08</v>
          </cell>
          <cell r="F27">
            <v>4238.01</v>
          </cell>
          <cell r="G27">
            <v>4681.79</v>
          </cell>
          <cell r="H27">
            <v>5758.6</v>
          </cell>
          <cell r="I27">
            <v>7243.33</v>
          </cell>
          <cell r="J27">
            <v>8097.17</v>
          </cell>
          <cell r="K27">
            <v>9311.86</v>
          </cell>
        </row>
        <row r="29">
          <cell r="B29">
            <v>3776.66</v>
          </cell>
          <cell r="C29">
            <v>4764.79</v>
          </cell>
          <cell r="D29">
            <v>7642.91</v>
          </cell>
          <cell r="E29">
            <v>3025.05</v>
          </cell>
          <cell r="F29">
            <v>3251.23</v>
          </cell>
          <cell r="G29">
            <v>4341.93</v>
          </cell>
          <cell r="H29">
            <v>-2437.4499999999998</v>
          </cell>
          <cell r="I29">
            <v>395.25</v>
          </cell>
          <cell r="J29">
            <v>2541.86</v>
          </cell>
          <cell r="K29">
            <v>4231.29</v>
          </cell>
        </row>
        <row r="31">
          <cell r="B31">
            <v>638.07000000000005</v>
          </cell>
          <cell r="C31">
            <v>643.78</v>
          </cell>
          <cell r="E31">
            <v>67.92</v>
          </cell>
        </row>
        <row r="42">
          <cell r="H42">
            <v>72229.289999999994</v>
          </cell>
          <cell r="I42">
            <v>78439.06</v>
          </cell>
          <cell r="J42">
            <v>71934.66</v>
          </cell>
          <cell r="K42">
            <v>79611.37</v>
          </cell>
        </row>
        <row r="43">
          <cell r="H43">
            <v>65151.27</v>
          </cell>
          <cell r="I43">
            <v>70156.27</v>
          </cell>
          <cell r="J43">
            <v>69521.929999999993</v>
          </cell>
          <cell r="K43">
            <v>74039.06</v>
          </cell>
        </row>
        <row r="45">
          <cell r="H45">
            <v>6078.13</v>
          </cell>
          <cell r="I45">
            <v>6432.11</v>
          </cell>
          <cell r="J45">
            <v>5841.04</v>
          </cell>
          <cell r="K45">
            <v>5897.34</v>
          </cell>
        </row>
        <row r="46">
          <cell r="H46">
            <v>2400.7399999999998</v>
          </cell>
          <cell r="I46">
            <v>2380.52</v>
          </cell>
          <cell r="J46">
            <v>2420.7199999999998</v>
          </cell>
          <cell r="K46">
            <v>2487.2600000000002</v>
          </cell>
        </row>
        <row r="48">
          <cell r="H48">
            <v>726.05</v>
          </cell>
          <cell r="I48">
            <v>758.22</v>
          </cell>
          <cell r="J48">
            <v>1518.96</v>
          </cell>
          <cell r="K48">
            <v>-457.08</v>
          </cell>
        </row>
        <row r="51">
          <cell r="H51">
            <v>7688.78</v>
          </cell>
          <cell r="I51">
            <v>8538.01</v>
          </cell>
          <cell r="J51">
            <v>4774.119999999999</v>
          </cell>
          <cell r="K51">
            <v>6982.91</v>
          </cell>
        </row>
        <row r="56">
          <cell r="B56">
            <v>41364</v>
          </cell>
          <cell r="C56">
            <v>41729</v>
          </cell>
          <cell r="D56">
            <v>42094</v>
          </cell>
          <cell r="E56">
            <v>42460</v>
          </cell>
          <cell r="F56">
            <v>42825</v>
          </cell>
          <cell r="G56">
            <v>43190</v>
          </cell>
          <cell r="H56">
            <v>43555</v>
          </cell>
          <cell r="I56">
            <v>43921</v>
          </cell>
          <cell r="J56">
            <v>44286</v>
          </cell>
          <cell r="K56">
            <v>44651</v>
          </cell>
        </row>
        <row r="57">
          <cell r="B57">
            <v>638.07000000000005</v>
          </cell>
          <cell r="C57">
            <v>643.78</v>
          </cell>
          <cell r="D57">
            <v>643.78</v>
          </cell>
          <cell r="E57">
            <v>679.18</v>
          </cell>
          <cell r="F57">
            <v>679.22</v>
          </cell>
          <cell r="G57">
            <v>679.22</v>
          </cell>
          <cell r="H57">
            <v>679.22</v>
          </cell>
          <cell r="I57">
            <v>719.54</v>
          </cell>
          <cell r="J57">
            <v>765.81</v>
          </cell>
          <cell r="K57">
            <v>765.88</v>
          </cell>
        </row>
        <row r="58">
          <cell r="B58">
            <v>36999.230000000003</v>
          </cell>
          <cell r="C58">
            <v>64959.67</v>
          </cell>
          <cell r="D58">
            <v>55618.14</v>
          </cell>
          <cell r="E58">
            <v>78273.23</v>
          </cell>
          <cell r="F58">
            <v>57382.67</v>
          </cell>
          <cell r="G58">
            <v>94748.69</v>
          </cell>
          <cell r="H58">
            <v>59500.34</v>
          </cell>
          <cell r="I58">
            <v>61491.49</v>
          </cell>
          <cell r="J58">
            <v>54480.91</v>
          </cell>
          <cell r="K58">
            <v>43795.360000000001</v>
          </cell>
        </row>
        <row r="59">
          <cell r="B59">
            <v>53715.71</v>
          </cell>
          <cell r="C59">
            <v>60642.28</v>
          </cell>
          <cell r="D59">
            <v>73610.39</v>
          </cell>
          <cell r="E59">
            <v>69359.960000000006</v>
          </cell>
          <cell r="F59">
            <v>78603.98</v>
          </cell>
          <cell r="G59">
            <v>88950.47</v>
          </cell>
          <cell r="H59">
            <v>106175.34</v>
          </cell>
          <cell r="I59">
            <v>124787.64</v>
          </cell>
          <cell r="J59">
            <v>142130.57</v>
          </cell>
          <cell r="K59">
            <v>146449.03</v>
          </cell>
        </row>
        <row r="60">
          <cell r="B60">
            <v>76977.02</v>
          </cell>
          <cell r="C60">
            <v>92180.26</v>
          </cell>
          <cell r="D60">
            <v>107442.48</v>
          </cell>
          <cell r="E60">
            <v>114871.75</v>
          </cell>
          <cell r="F60">
            <v>135914.49</v>
          </cell>
          <cell r="G60">
            <v>142813.43</v>
          </cell>
          <cell r="H60">
            <v>139348.59</v>
          </cell>
          <cell r="I60">
            <v>133180.72</v>
          </cell>
          <cell r="J60">
            <v>144192.62</v>
          </cell>
          <cell r="K60">
            <v>138051.22</v>
          </cell>
        </row>
        <row r="61">
          <cell r="B61">
            <v>168330.03</v>
          </cell>
          <cell r="C61">
            <v>218425.99</v>
          </cell>
          <cell r="D61">
            <v>237314.79</v>
          </cell>
          <cell r="E61">
            <v>263184.12</v>
          </cell>
          <cell r="F61">
            <v>272580.36</v>
          </cell>
          <cell r="G61">
            <v>327191.81</v>
          </cell>
          <cell r="H61">
            <v>305703.49</v>
          </cell>
          <cell r="I61">
            <v>320179.39</v>
          </cell>
          <cell r="J61">
            <v>341569.91</v>
          </cell>
          <cell r="K61">
            <v>329061.49</v>
          </cell>
        </row>
        <row r="62">
          <cell r="B62">
            <v>55511.73</v>
          </cell>
          <cell r="C62">
            <v>69091.67</v>
          </cell>
          <cell r="D62">
            <v>88479.49</v>
          </cell>
          <cell r="E62">
            <v>107231.76</v>
          </cell>
          <cell r="F62">
            <v>95944.08</v>
          </cell>
          <cell r="G62">
            <v>121413.86</v>
          </cell>
          <cell r="H62">
            <v>111234.47</v>
          </cell>
          <cell r="I62">
            <v>127107.14</v>
          </cell>
          <cell r="J62">
            <v>138707.60999999999</v>
          </cell>
          <cell r="K62">
            <v>138855.45000000001</v>
          </cell>
        </row>
        <row r="63">
          <cell r="B63">
            <v>18453.55</v>
          </cell>
          <cell r="C63">
            <v>33262.559999999998</v>
          </cell>
          <cell r="D63">
            <v>28640.09</v>
          </cell>
          <cell r="E63">
            <v>25918.94</v>
          </cell>
          <cell r="F63">
            <v>33698.839999999997</v>
          </cell>
          <cell r="G63">
            <v>40033.5</v>
          </cell>
          <cell r="H63">
            <v>31883.84</v>
          </cell>
          <cell r="I63">
            <v>35622.29</v>
          </cell>
          <cell r="J63">
            <v>20963.93</v>
          </cell>
          <cell r="K63">
            <v>10251.09</v>
          </cell>
        </row>
        <row r="64">
          <cell r="B64">
            <v>8764.73</v>
          </cell>
          <cell r="C64">
            <v>10686.67</v>
          </cell>
          <cell r="D64">
            <v>15336.74</v>
          </cell>
          <cell r="E64">
            <v>23767.02</v>
          </cell>
          <cell r="F64">
            <v>20337.919999999998</v>
          </cell>
          <cell r="G64">
            <v>20812.75</v>
          </cell>
          <cell r="H64">
            <v>15770.72</v>
          </cell>
          <cell r="I64">
            <v>16308.48</v>
          </cell>
          <cell r="J64">
            <v>24620.28</v>
          </cell>
          <cell r="K64">
            <v>29379.53</v>
          </cell>
        </row>
        <row r="65">
          <cell r="B65">
            <v>85600.02</v>
          </cell>
          <cell r="C65">
            <v>105385.09</v>
          </cell>
          <cell r="D65">
            <v>104858.47</v>
          </cell>
          <cell r="E65">
            <v>106266.4</v>
          </cell>
          <cell r="F65">
            <v>122599.52</v>
          </cell>
          <cell r="G65">
            <v>144931.70000000001</v>
          </cell>
          <cell r="H65">
            <v>146814.46</v>
          </cell>
          <cell r="I65">
            <v>141141.48000000001</v>
          </cell>
          <cell r="J65">
            <v>157278.09</v>
          </cell>
          <cell r="K65">
            <v>150575.42000000001</v>
          </cell>
        </row>
        <row r="67">
          <cell r="B67">
            <v>10959.6</v>
          </cell>
          <cell r="C67">
            <v>10574.23</v>
          </cell>
          <cell r="D67">
            <v>12579.2</v>
          </cell>
          <cell r="E67">
            <v>13570.91</v>
          </cell>
          <cell r="F67">
            <v>14075.55</v>
          </cell>
          <cell r="G67">
            <v>19893.3</v>
          </cell>
          <cell r="H67">
            <v>18996.169999999998</v>
          </cell>
          <cell r="I67">
            <v>11172.69</v>
          </cell>
          <cell r="J67">
            <v>12679.08</v>
          </cell>
          <cell r="K67">
            <v>12442.12</v>
          </cell>
        </row>
        <row r="68">
          <cell r="B68">
            <v>21036.82</v>
          </cell>
          <cell r="C68">
            <v>27270.89</v>
          </cell>
          <cell r="D68">
            <v>29272.34</v>
          </cell>
          <cell r="E68">
            <v>32655.73</v>
          </cell>
          <cell r="F68">
            <v>35085.31</v>
          </cell>
          <cell r="G68">
            <v>42137.63</v>
          </cell>
          <cell r="H68">
            <v>39013.730000000003</v>
          </cell>
          <cell r="I68">
            <v>37456.879999999997</v>
          </cell>
          <cell r="J68">
            <v>36088.589999999997</v>
          </cell>
          <cell r="K68">
            <v>35240.339999999997</v>
          </cell>
        </row>
        <row r="69">
          <cell r="B69">
            <v>21114.82</v>
          </cell>
          <cell r="C69">
            <v>29711.79</v>
          </cell>
          <cell r="D69">
            <v>32115.759999999998</v>
          </cell>
          <cell r="E69">
            <v>30460.400000000001</v>
          </cell>
          <cell r="F69">
            <v>36077.879999999997</v>
          </cell>
          <cell r="G69">
            <v>34613.910000000003</v>
          </cell>
          <cell r="H69">
            <v>32648.82</v>
          </cell>
          <cell r="I69">
            <v>33726.97</v>
          </cell>
          <cell r="J69">
            <v>46792.46</v>
          </cell>
          <cell r="K69">
            <v>40669.19</v>
          </cell>
        </row>
        <row r="93">
          <cell r="B93">
            <v>285.72000000000003</v>
          </cell>
          <cell r="C93">
            <v>288.74</v>
          </cell>
          <cell r="D93">
            <v>288.74</v>
          </cell>
          <cell r="E93">
            <v>288.72000000000003</v>
          </cell>
          <cell r="F93">
            <v>288.73</v>
          </cell>
          <cell r="G93">
            <v>288.73</v>
          </cell>
          <cell r="H93">
            <v>288.73</v>
          </cell>
          <cell r="I93">
            <v>308.89999999999998</v>
          </cell>
          <cell r="J93">
            <v>332.03</v>
          </cell>
          <cell r="K93">
            <v>332.07</v>
          </cell>
        </row>
      </sheetData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18554-AA4A-4B19-AD35-C5FAF440B924}">
  <sheetPr>
    <tabColor rgb="FF00206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DD5AB-03DF-45B6-8507-909C15B272FA}">
  <sheetPr>
    <pageSetUpPr fitToPage="1"/>
  </sheetPr>
  <dimension ref="B6:K45"/>
  <sheetViews>
    <sheetView showGridLines="0" topLeftCell="D5" zoomScale="106" workbookViewId="0">
      <selection activeCell="C9" sqref="C9"/>
    </sheetView>
  </sheetViews>
  <sheetFormatPr defaultRowHeight="15" x14ac:dyDescent="0.25"/>
  <cols>
    <col min="1" max="1" width="2.28515625" customWidth="1"/>
    <col min="2" max="2" width="40.28515625" bestFit="1" customWidth="1"/>
    <col min="3" max="3" width="9.140625" bestFit="1" customWidth="1"/>
    <col min="4" max="4" width="10.28515625" bestFit="1" customWidth="1"/>
    <col min="5" max="5" width="11.42578125" bestFit="1" customWidth="1"/>
    <col min="6" max="6" width="9.85546875" bestFit="1" customWidth="1"/>
    <col min="7" max="7" width="15.28515625" customWidth="1"/>
    <col min="8" max="8" width="10.7109375" customWidth="1"/>
    <col min="9" max="9" width="8.140625" bestFit="1" customWidth="1"/>
    <col min="10" max="10" width="10.28515625" bestFit="1" customWidth="1"/>
    <col min="11" max="11" width="10" bestFit="1" customWidth="1"/>
    <col min="12" max="12" width="21.85546875" bestFit="1" customWidth="1"/>
  </cols>
  <sheetData>
    <row r="6" spans="2:11" ht="18.75" x14ac:dyDescent="0.3">
      <c r="B6" s="2" t="s">
        <v>0</v>
      </c>
      <c r="C6" s="3"/>
      <c r="D6" s="3"/>
      <c r="E6" s="3"/>
      <c r="F6" s="3"/>
      <c r="G6" s="3"/>
      <c r="H6" s="3"/>
      <c r="I6" s="3"/>
      <c r="J6" s="3"/>
      <c r="K6" s="3"/>
    </row>
    <row r="8" spans="2:11" x14ac:dyDescent="0.25">
      <c r="B8" s="4" t="s">
        <v>1</v>
      </c>
    </row>
    <row r="10" spans="2:11" x14ac:dyDescent="0.25">
      <c r="B10" s="1" t="s">
        <v>2</v>
      </c>
    </row>
    <row r="11" spans="2:11" x14ac:dyDescent="0.25">
      <c r="B11" s="5"/>
      <c r="C11" s="5"/>
      <c r="D11" s="5"/>
      <c r="E11" s="5"/>
      <c r="F11" s="5"/>
      <c r="G11" s="5"/>
      <c r="H11" s="5" t="s">
        <v>14</v>
      </c>
      <c r="I11" s="5" t="s">
        <v>14</v>
      </c>
      <c r="J11" s="5" t="s">
        <v>10</v>
      </c>
      <c r="K11" s="5" t="s">
        <v>11</v>
      </c>
    </row>
    <row r="12" spans="2:11" ht="17.25" x14ac:dyDescent="0.25">
      <c r="B12" s="6" t="s">
        <v>3</v>
      </c>
      <c r="C12" s="6"/>
      <c r="D12" s="6" t="s">
        <v>4</v>
      </c>
      <c r="E12" s="6" t="s">
        <v>5</v>
      </c>
      <c r="F12" s="6" t="s">
        <v>6</v>
      </c>
      <c r="G12" s="6" t="s">
        <v>7</v>
      </c>
      <c r="H12" s="6" t="s">
        <v>8</v>
      </c>
      <c r="I12" s="6" t="s">
        <v>9</v>
      </c>
      <c r="J12" s="6" t="s">
        <v>12</v>
      </c>
      <c r="K12" s="6" t="s">
        <v>13</v>
      </c>
    </row>
    <row r="14" spans="2:11" x14ac:dyDescent="0.25">
      <c r="B14" s="8" t="s">
        <v>92</v>
      </c>
      <c r="C14" s="8"/>
      <c r="D14" s="8" t="s">
        <v>15</v>
      </c>
      <c r="E14" s="30">
        <f>'Beta - Comps'!F6</f>
        <v>710.83</v>
      </c>
      <c r="F14" s="30">
        <f>'Beta - Comps'!E6</f>
        <v>228379.45</v>
      </c>
      <c r="G14" s="17">
        <v>0.3</v>
      </c>
      <c r="H14" s="10">
        <f>E14/F14</f>
        <v>3.1124954543852346E-3</v>
      </c>
      <c r="I14" s="10">
        <f>E14/(E14+F14)</f>
        <v>3.1028378855707021E-3</v>
      </c>
      <c r="J14" s="51">
        <f>'Beta - Regression'!J9</f>
        <v>1.2421252296486511</v>
      </c>
      <c r="K14" s="11">
        <f>J14/(1+(1-G14)*H14)</f>
        <v>1.2394248367293905</v>
      </c>
    </row>
    <row r="15" spans="2:11" x14ac:dyDescent="0.25">
      <c r="B15" s="8" t="s">
        <v>93</v>
      </c>
      <c r="C15" s="8"/>
      <c r="D15" s="8" t="s">
        <v>15</v>
      </c>
      <c r="E15" s="30">
        <f>'Beta - Comps'!F7</f>
        <v>4525.96</v>
      </c>
      <c r="F15" s="30">
        <f>'Beta - Comps'!E7</f>
        <v>47567.78</v>
      </c>
      <c r="G15" s="17">
        <v>0.3</v>
      </c>
      <c r="H15" s="10">
        <f t="shared" ref="H15:H18" si="0">E15/F15</f>
        <v>9.5147597806750708E-2</v>
      </c>
      <c r="I15" s="10">
        <f t="shared" ref="I15:I18" si="1">E15/(E15+F15)</f>
        <v>8.6881072466672579E-2</v>
      </c>
      <c r="J15" s="8">
        <v>1.4</v>
      </c>
      <c r="K15" s="11">
        <f t="shared" ref="K15:K18" si="2">J15/(1+(1-G15)*H15)</f>
        <v>1.3125779526123802</v>
      </c>
    </row>
    <row r="16" spans="2:11" x14ac:dyDescent="0.25">
      <c r="B16" s="8" t="s">
        <v>94</v>
      </c>
      <c r="C16" s="8"/>
      <c r="D16" s="8" t="s">
        <v>15</v>
      </c>
      <c r="E16" s="30">
        <f>'Beta - Comps'!F8</f>
        <v>248.92</v>
      </c>
      <c r="F16" s="30">
        <f>'Beta - Comps'!E8</f>
        <v>28378.34</v>
      </c>
      <c r="G16" s="17">
        <v>0.3</v>
      </c>
      <c r="H16" s="10">
        <f t="shared" si="0"/>
        <v>8.7714785290471525E-3</v>
      </c>
      <c r="I16" s="10">
        <f t="shared" si="1"/>
        <v>8.6952086926936067E-3</v>
      </c>
      <c r="J16" s="8">
        <v>1.37</v>
      </c>
      <c r="K16" s="11">
        <f t="shared" si="2"/>
        <v>1.3616394859393461</v>
      </c>
    </row>
    <row r="17" spans="2:11" x14ac:dyDescent="0.25">
      <c r="B17" s="8" t="s">
        <v>95</v>
      </c>
      <c r="C17" s="8"/>
      <c r="D17" s="8" t="s">
        <v>15</v>
      </c>
      <c r="E17" s="30">
        <f>'Beta - Comps'!F9</f>
        <v>4617.57</v>
      </c>
      <c r="F17" s="30">
        <f>'Beta - Comps'!E9</f>
        <v>23395.42</v>
      </c>
      <c r="G17" s="17">
        <v>0.3</v>
      </c>
      <c r="H17" s="10">
        <f t="shared" si="0"/>
        <v>0.1973706819539893</v>
      </c>
      <c r="I17" s="10">
        <f t="shared" si="1"/>
        <v>0.16483674181156671</v>
      </c>
      <c r="J17" s="8">
        <v>1.23</v>
      </c>
      <c r="K17" s="11">
        <f t="shared" si="2"/>
        <v>1.080692138894811</v>
      </c>
    </row>
    <row r="18" spans="2:11" x14ac:dyDescent="0.25">
      <c r="B18" s="8" t="s">
        <v>96</v>
      </c>
      <c r="C18" s="8"/>
      <c r="D18" s="8" t="s">
        <v>15</v>
      </c>
      <c r="E18" s="30">
        <f>'Beta - Comps'!F10</f>
        <v>805.48</v>
      </c>
      <c r="F18" s="30">
        <f>'Beta - Comps'!E10</f>
        <v>23076.59</v>
      </c>
      <c r="G18" s="17">
        <v>0.3</v>
      </c>
      <c r="H18" s="10">
        <f t="shared" si="0"/>
        <v>3.4904637123595816E-2</v>
      </c>
      <c r="I18" s="10">
        <f t="shared" si="1"/>
        <v>3.3727394652138615E-2</v>
      </c>
      <c r="J18" s="8">
        <v>1.41</v>
      </c>
      <c r="K18" s="11">
        <f t="shared" si="2"/>
        <v>1.3763707938257965</v>
      </c>
    </row>
    <row r="20" spans="2:11" x14ac:dyDescent="0.25">
      <c r="F20" s="12" t="s">
        <v>16</v>
      </c>
      <c r="G20" s="18">
        <f t="shared" ref="G20:K21" si="3">AVERAGE(G14:G18)</f>
        <v>0.3</v>
      </c>
      <c r="H20" s="16">
        <f t="shared" si="3"/>
        <v>6.7861378173553644E-2</v>
      </c>
      <c r="I20" s="16">
        <f t="shared" si="3"/>
        <v>5.9448651101728436E-2</v>
      </c>
      <c r="J20" s="15">
        <f>AVERAGE(J14:J18)</f>
        <v>1.3304250459297304</v>
      </c>
      <c r="K20" s="15">
        <f t="shared" si="3"/>
        <v>1.2741410416003449</v>
      </c>
    </row>
    <row r="21" spans="2:11" x14ac:dyDescent="0.25">
      <c r="F21" s="13" t="s">
        <v>17</v>
      </c>
      <c r="G21" s="19">
        <f t="shared" si="3"/>
        <v>0.3</v>
      </c>
      <c r="H21" s="14">
        <f t="shared" si="3"/>
        <v>8.4048598853345743E-2</v>
      </c>
      <c r="I21" s="14">
        <f>MEDIAN(I14:I18)</f>
        <v>3.3727394652138615E-2</v>
      </c>
      <c r="J21" s="37">
        <f>MEDIAN(J14:J18)</f>
        <v>1.37</v>
      </c>
      <c r="K21" s="37">
        <f>MEDIAN(K14:K18)</f>
        <v>1.3125779526123802</v>
      </c>
    </row>
    <row r="24" spans="2:11" x14ac:dyDescent="0.25">
      <c r="B24" s="13" t="s">
        <v>22</v>
      </c>
      <c r="C24" s="6"/>
      <c r="D24" s="6"/>
      <c r="E24" s="6"/>
      <c r="G24" s="13" t="s">
        <v>21</v>
      </c>
      <c r="H24" s="6"/>
      <c r="I24" s="6"/>
      <c r="J24" s="6"/>
      <c r="K24" s="6"/>
    </row>
    <row r="26" spans="2:11" x14ac:dyDescent="0.25">
      <c r="B26" t="s">
        <v>20</v>
      </c>
      <c r="C26" s="32" t="s">
        <v>104</v>
      </c>
      <c r="E26" s="24">
        <f>69/710</f>
        <v>9.7183098591549291E-2</v>
      </c>
      <c r="G26" t="s">
        <v>23</v>
      </c>
      <c r="K26" s="24">
        <v>7.3910000000000003E-2</v>
      </c>
    </row>
    <row r="27" spans="2:11" x14ac:dyDescent="0.25">
      <c r="B27" t="s">
        <v>18</v>
      </c>
      <c r="E27" s="24">
        <v>0.3</v>
      </c>
      <c r="G27" t="s">
        <v>24</v>
      </c>
      <c r="K27" s="24">
        <f>Rm!F11-WACC!K26</f>
        <v>7.75823076923077E-2</v>
      </c>
    </row>
    <row r="28" spans="2:11" ht="17.25" x14ac:dyDescent="0.25">
      <c r="B28" s="21" t="s">
        <v>19</v>
      </c>
      <c r="C28" s="21"/>
      <c r="D28" s="21"/>
      <c r="E28" s="22">
        <f>E26*(1-E27)</f>
        <v>6.8028169014084497E-2</v>
      </c>
      <c r="G28" t="s">
        <v>26</v>
      </c>
      <c r="K28" s="27">
        <f>K37</f>
        <v>1.6814624297235128</v>
      </c>
    </row>
    <row r="29" spans="2:11" x14ac:dyDescent="0.25">
      <c r="G29" s="21" t="s">
        <v>21</v>
      </c>
      <c r="H29" s="21"/>
      <c r="I29" s="21"/>
      <c r="J29" s="21"/>
      <c r="K29" s="28">
        <f>K26+(K27*K28)</f>
        <v>0.20436173559586487</v>
      </c>
    </row>
    <row r="32" spans="2:11" x14ac:dyDescent="0.25">
      <c r="B32" s="13" t="s">
        <v>27</v>
      </c>
      <c r="C32" s="13"/>
      <c r="D32" s="13"/>
      <c r="E32" s="6"/>
      <c r="G32" s="13" t="s">
        <v>25</v>
      </c>
      <c r="H32" s="13"/>
      <c r="I32" s="13"/>
      <c r="J32" s="6"/>
      <c r="K32" s="6"/>
    </row>
    <row r="34" spans="2:11" x14ac:dyDescent="0.25">
      <c r="D34" s="23" t="s">
        <v>28</v>
      </c>
      <c r="E34" s="23" t="s">
        <v>29</v>
      </c>
      <c r="G34" t="s">
        <v>32</v>
      </c>
      <c r="K34" s="27">
        <f>K21</f>
        <v>1.3125779526123802</v>
      </c>
    </row>
    <row r="35" spans="2:11" x14ac:dyDescent="0.25">
      <c r="B35" t="s">
        <v>5</v>
      </c>
      <c r="C35" s="30">
        <f>E14</f>
        <v>710.83</v>
      </c>
      <c r="D35" s="9">
        <f>C35/$C$37</f>
        <v>3.1028378855707021E-3</v>
      </c>
      <c r="E35" s="24">
        <f>I20</f>
        <v>5.9448651101728436E-2</v>
      </c>
      <c r="G35" t="s">
        <v>33</v>
      </c>
      <c r="K35" s="7">
        <f>E39</f>
        <v>6.3206172817001943E-2</v>
      </c>
    </row>
    <row r="36" spans="2:11" x14ac:dyDescent="0.25">
      <c r="B36" t="s">
        <v>30</v>
      </c>
      <c r="C36" s="30">
        <f>F14</f>
        <v>228379.45</v>
      </c>
      <c r="D36" s="9">
        <f>C36/$C$37</f>
        <v>0.99689716211442936</v>
      </c>
      <c r="E36" s="7">
        <f>E37-E35</f>
        <v>0.94055134889827152</v>
      </c>
      <c r="G36" t="s">
        <v>18</v>
      </c>
      <c r="K36" s="20">
        <f>E27</f>
        <v>0.3</v>
      </c>
    </row>
    <row r="37" spans="2:11" x14ac:dyDescent="0.25">
      <c r="B37" s="21" t="s">
        <v>31</v>
      </c>
      <c r="C37" s="31">
        <f>SUM(C35:C36)</f>
        <v>229090.28</v>
      </c>
      <c r="D37" s="25">
        <f>SUM(D35:D36)</f>
        <v>1</v>
      </c>
      <c r="E37" s="25">
        <f>D37</f>
        <v>1</v>
      </c>
      <c r="G37" s="21" t="s">
        <v>25</v>
      </c>
      <c r="H37" s="21"/>
      <c r="I37" s="21"/>
      <c r="J37" s="21"/>
      <c r="K37" s="29">
        <f>K34*(1+(1-K35)*K36)</f>
        <v>1.6814624297235128</v>
      </c>
    </row>
    <row r="39" spans="2:11" x14ac:dyDescent="0.25">
      <c r="B39" t="s">
        <v>34</v>
      </c>
      <c r="D39" s="26">
        <f>D35/D36</f>
        <v>3.112495454385235E-3</v>
      </c>
      <c r="E39" s="26">
        <f>E35/E36</f>
        <v>6.3206172817001943E-2</v>
      </c>
      <c r="G39" s="13" t="s">
        <v>0</v>
      </c>
      <c r="H39" s="13"/>
      <c r="I39" s="13"/>
      <c r="J39" s="6"/>
      <c r="K39" s="6"/>
    </row>
    <row r="41" spans="2:11" x14ac:dyDescent="0.25">
      <c r="B41" s="32" t="s">
        <v>38</v>
      </c>
      <c r="J41" s="6" t="s">
        <v>36</v>
      </c>
      <c r="K41" s="6" t="s">
        <v>37</v>
      </c>
    </row>
    <row r="42" spans="2:11" x14ac:dyDescent="0.25">
      <c r="B42" s="33" t="s">
        <v>39</v>
      </c>
      <c r="G42" t="s">
        <v>35</v>
      </c>
      <c r="J42" s="7">
        <f>E28</f>
        <v>6.8028169014084497E-2</v>
      </c>
      <c r="K42" s="7">
        <f>E35</f>
        <v>5.9448651101728436E-2</v>
      </c>
    </row>
    <row r="43" spans="2:11" x14ac:dyDescent="0.25">
      <c r="B43" s="33" t="s">
        <v>40</v>
      </c>
      <c r="G43" t="s">
        <v>8</v>
      </c>
      <c r="J43" s="7">
        <f>K29</f>
        <v>0.20436173559586487</v>
      </c>
      <c r="K43" s="7">
        <f>E36</f>
        <v>0.94055134889827152</v>
      </c>
    </row>
    <row r="44" spans="2:11" x14ac:dyDescent="0.25">
      <c r="B44" s="33" t="s">
        <v>41</v>
      </c>
      <c r="G44" s="52" t="s">
        <v>0</v>
      </c>
      <c r="H44" s="52"/>
      <c r="I44" s="52"/>
      <c r="J44" s="52"/>
      <c r="K44" s="53">
        <f>SUMPRODUCT(J42:J43,K42:K43)</f>
        <v>0.19625688896269036</v>
      </c>
    </row>
    <row r="45" spans="2:11" x14ac:dyDescent="0.25">
      <c r="B45" s="33" t="s">
        <v>42</v>
      </c>
    </row>
  </sheetData>
  <pageMargins left="0.25" right="0.25" top="0.75" bottom="0.75" header="0.3" footer="0.3"/>
  <pageSetup scale="68" orientation="landscape" r:id="rId1"/>
  <ignoredErrors>
    <ignoredError sqref="G2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BE96A-40D1-4749-99FD-A1D347ABC474}">
  <sheetPr>
    <tabColor rgb="FF002060"/>
  </sheetPr>
  <dimension ref="A1"/>
  <sheetViews>
    <sheetView workbookViewId="0">
      <selection activeCell="E19" sqref="E19"/>
    </sheetView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B581-4ED6-40D4-AF66-43E84CF37B23}">
  <dimension ref="B5:T114"/>
  <sheetViews>
    <sheetView showGridLines="0" zoomScale="113" workbookViewId="0">
      <selection activeCell="B7" sqref="B7:D7"/>
    </sheetView>
  </sheetViews>
  <sheetFormatPr defaultRowHeight="15" x14ac:dyDescent="0.25"/>
  <cols>
    <col min="1" max="1" width="2.28515625" customWidth="1"/>
    <col min="2" max="2" width="15.85546875" bestFit="1" customWidth="1"/>
    <col min="3" max="3" width="12.42578125" bestFit="1" customWidth="1"/>
    <col min="4" max="4" width="8.42578125" bestFit="1" customWidth="1"/>
    <col min="6" max="6" width="12.42578125" bestFit="1" customWidth="1"/>
    <col min="7" max="7" width="7.85546875" bestFit="1" customWidth="1"/>
    <col min="9" max="9" width="19" bestFit="1" customWidth="1"/>
    <col min="10" max="10" width="7.7109375" bestFit="1" customWidth="1"/>
    <col min="12" max="12" width="18.7109375" bestFit="1" customWidth="1"/>
    <col min="13" max="13" width="13.7109375" bestFit="1" customWidth="1"/>
    <col min="14" max="14" width="15" bestFit="1" customWidth="1"/>
    <col min="15" max="16" width="13.7109375" bestFit="1" customWidth="1"/>
    <col min="17" max="17" width="14.28515625" bestFit="1" customWidth="1"/>
    <col min="18" max="18" width="13.7109375" bestFit="1" customWidth="1"/>
    <col min="19" max="19" width="14.28515625" bestFit="1" customWidth="1"/>
    <col min="20" max="20" width="13.7109375" bestFit="1" customWidth="1"/>
  </cols>
  <sheetData>
    <row r="5" spans="2:14" x14ac:dyDescent="0.25">
      <c r="B5" s="1" t="s">
        <v>85</v>
      </c>
    </row>
    <row r="6" spans="2:14" x14ac:dyDescent="0.25">
      <c r="B6" s="1"/>
    </row>
    <row r="7" spans="2:14" x14ac:dyDescent="0.25">
      <c r="B7" s="54" t="s">
        <v>46</v>
      </c>
      <c r="C7" s="54"/>
      <c r="D7" s="54"/>
      <c r="F7" s="54" t="s">
        <v>48</v>
      </c>
      <c r="G7" s="54"/>
      <c r="H7" s="43"/>
      <c r="I7" s="54" t="s">
        <v>79</v>
      </c>
      <c r="J7" s="54"/>
      <c r="L7" t="s">
        <v>49</v>
      </c>
      <c r="M7" s="27">
        <f>SLOPE(D11:D114,G11:G114)</f>
        <v>1.2421252296486509</v>
      </c>
      <c r="N7" t="s">
        <v>52</v>
      </c>
    </row>
    <row r="8" spans="2:14" x14ac:dyDescent="0.25">
      <c r="B8" s="43"/>
      <c r="C8" s="44"/>
      <c r="D8" s="44"/>
      <c r="L8" t="s">
        <v>50</v>
      </c>
      <c r="M8" s="27">
        <f>_xlfn.COVARIANCE.S(D11:D114,G11:G114)/_xlfn.VAR.S(G11:G114)</f>
        <v>1.2421252296486505</v>
      </c>
      <c r="N8" t="s">
        <v>53</v>
      </c>
    </row>
    <row r="9" spans="2:14" ht="15.75" thickBot="1" x14ac:dyDescent="0.3">
      <c r="B9" s="34" t="s">
        <v>44</v>
      </c>
      <c r="C9" s="36" t="s">
        <v>45</v>
      </c>
      <c r="D9" s="36" t="s">
        <v>47</v>
      </c>
      <c r="F9" s="36" t="s">
        <v>45</v>
      </c>
      <c r="G9" s="36" t="s">
        <v>47</v>
      </c>
      <c r="I9" s="42" t="s">
        <v>80</v>
      </c>
      <c r="J9" s="27">
        <f>M10</f>
        <v>1.2421252296486511</v>
      </c>
    </row>
    <row r="10" spans="2:14" x14ac:dyDescent="0.25">
      <c r="B10" s="41">
        <v>44249</v>
      </c>
      <c r="C10" s="40">
        <v>2994.2</v>
      </c>
      <c r="F10" s="40">
        <v>14529.2</v>
      </c>
      <c r="I10" t="s">
        <v>81</v>
      </c>
      <c r="J10" s="9">
        <v>0.75</v>
      </c>
      <c r="L10" t="s">
        <v>51</v>
      </c>
      <c r="M10" s="27">
        <f>M29</f>
        <v>1.2421252296486511</v>
      </c>
    </row>
    <row r="11" spans="2:14" x14ac:dyDescent="0.25">
      <c r="B11" s="41">
        <v>44256</v>
      </c>
      <c r="C11" s="40">
        <v>3286.1</v>
      </c>
      <c r="D11" s="9">
        <f>C11/C10-1</f>
        <v>9.7488477723598921E-2</v>
      </c>
      <c r="F11" s="40">
        <v>14938.1</v>
      </c>
      <c r="G11" s="9">
        <f>F11/F10-1</f>
        <v>2.8143325165872923E-2</v>
      </c>
    </row>
    <row r="12" spans="2:14" x14ac:dyDescent="0.25">
      <c r="B12" s="41">
        <v>44263</v>
      </c>
      <c r="C12" s="40">
        <v>3129.4</v>
      </c>
      <c r="D12" s="9">
        <f t="shared" ref="D12:D75" si="0">C12/C11-1</f>
        <v>-4.7685706460545929E-2</v>
      </c>
      <c r="F12" s="40">
        <v>15031</v>
      </c>
      <c r="G12" s="9">
        <f t="shared" ref="G12:G75" si="1">F12/F11-1</f>
        <v>6.2189970612058776E-3</v>
      </c>
      <c r="I12" t="s">
        <v>83</v>
      </c>
      <c r="J12" s="49">
        <v>1</v>
      </c>
      <c r="L12" t="s">
        <v>54</v>
      </c>
    </row>
    <row r="13" spans="2:14" ht="15.75" thickBot="1" x14ac:dyDescent="0.3">
      <c r="B13" s="41">
        <v>44270</v>
      </c>
      <c r="C13" s="40">
        <v>2960.3</v>
      </c>
      <c r="D13" s="9">
        <f t="shared" si="0"/>
        <v>-5.4035917428260971E-2</v>
      </c>
      <c r="F13" s="40">
        <v>14744</v>
      </c>
      <c r="G13" s="9">
        <f t="shared" si="1"/>
        <v>-1.9093872663162759E-2</v>
      </c>
      <c r="I13" t="s">
        <v>82</v>
      </c>
      <c r="J13" s="9">
        <f>1-J10</f>
        <v>0.25</v>
      </c>
    </row>
    <row r="14" spans="2:14" x14ac:dyDescent="0.25">
      <c r="B14" s="41">
        <v>44277</v>
      </c>
      <c r="C14" s="40">
        <v>2855.2</v>
      </c>
      <c r="D14" s="9">
        <f t="shared" si="0"/>
        <v>-3.550315846366936E-2</v>
      </c>
      <c r="F14" s="40">
        <v>14507.3</v>
      </c>
      <c r="G14" s="9">
        <f t="shared" si="1"/>
        <v>-1.6053988062940894E-2</v>
      </c>
      <c r="L14" s="47" t="s">
        <v>55</v>
      </c>
      <c r="M14" s="47"/>
    </row>
    <row r="15" spans="2:14" x14ac:dyDescent="0.25">
      <c r="B15" s="41">
        <v>44284</v>
      </c>
      <c r="C15" s="40">
        <v>2912.7</v>
      </c>
      <c r="D15" s="9">
        <f t="shared" si="0"/>
        <v>2.0138694312132221E-2</v>
      </c>
      <c r="F15" s="40">
        <v>14867.3</v>
      </c>
      <c r="G15" s="9">
        <f t="shared" si="1"/>
        <v>2.4815093091064444E-2</v>
      </c>
      <c r="I15" s="39" t="s">
        <v>84</v>
      </c>
      <c r="J15" s="38">
        <f>(J9*J10)+(J12*J13)</f>
        <v>1.1815939222364884</v>
      </c>
      <c r="L15" t="s">
        <v>56</v>
      </c>
      <c r="M15">
        <v>0.51109437804243274</v>
      </c>
    </row>
    <row r="16" spans="2:14" x14ac:dyDescent="0.25">
      <c r="B16" s="41">
        <v>44291</v>
      </c>
      <c r="C16" s="40">
        <v>2947.8</v>
      </c>
      <c r="D16" s="9">
        <f t="shared" si="0"/>
        <v>1.2050674631784997E-2</v>
      </c>
      <c r="F16" s="40">
        <v>14834.8</v>
      </c>
      <c r="G16" s="9">
        <f t="shared" si="1"/>
        <v>-2.1860055289124602E-3</v>
      </c>
      <c r="L16" t="s">
        <v>57</v>
      </c>
      <c r="M16">
        <v>0.26121746326658118</v>
      </c>
    </row>
    <row r="17" spans="2:20" x14ac:dyDescent="0.25">
      <c r="B17" s="41">
        <v>44298</v>
      </c>
      <c r="C17" s="40">
        <v>2919.9</v>
      </c>
      <c r="D17" s="9">
        <f t="shared" si="0"/>
        <v>-9.4646855281905751E-3</v>
      </c>
      <c r="F17" s="40">
        <v>14617.8</v>
      </c>
      <c r="G17" s="9">
        <f t="shared" si="1"/>
        <v>-1.4627767142125325E-2</v>
      </c>
      <c r="L17" t="s">
        <v>58</v>
      </c>
      <c r="M17">
        <v>0.25397449722017512</v>
      </c>
    </row>
    <row r="18" spans="2:20" x14ac:dyDescent="0.25">
      <c r="B18" s="41">
        <v>44305</v>
      </c>
      <c r="C18" s="40">
        <v>2713.7</v>
      </c>
      <c r="D18" s="9">
        <f t="shared" si="0"/>
        <v>-7.0618856810164776E-2</v>
      </c>
      <c r="F18" s="40">
        <v>14341.3</v>
      </c>
      <c r="G18" s="9">
        <f t="shared" si="1"/>
        <v>-1.8915295051238901E-2</v>
      </c>
      <c r="L18" t="s">
        <v>59</v>
      </c>
      <c r="M18">
        <v>4.2284959614115471E-2</v>
      </c>
    </row>
    <row r="19" spans="2:20" ht="15.75" thickBot="1" x14ac:dyDescent="0.3">
      <c r="B19" s="41">
        <v>44312</v>
      </c>
      <c r="C19" s="40">
        <v>2852.9</v>
      </c>
      <c r="D19" s="9">
        <f t="shared" si="0"/>
        <v>5.1295279507683311E-2</v>
      </c>
      <c r="F19" s="40">
        <v>14631.1</v>
      </c>
      <c r="G19" s="9">
        <f t="shared" si="1"/>
        <v>2.0207373111224225E-2</v>
      </c>
      <c r="L19" s="45" t="s">
        <v>60</v>
      </c>
      <c r="M19" s="45">
        <v>104</v>
      </c>
    </row>
    <row r="20" spans="2:20" x14ac:dyDescent="0.25">
      <c r="B20" s="41">
        <v>44319</v>
      </c>
      <c r="C20" s="40">
        <v>2895.5</v>
      </c>
      <c r="D20" s="9">
        <f t="shared" si="0"/>
        <v>1.4932174278804E-2</v>
      </c>
      <c r="F20" s="40">
        <v>14823.2</v>
      </c>
      <c r="G20" s="9">
        <f t="shared" si="1"/>
        <v>1.3129566471420384E-2</v>
      </c>
    </row>
    <row r="21" spans="2:20" ht="15.75" thickBot="1" x14ac:dyDescent="0.3">
      <c r="B21" s="41">
        <v>44326</v>
      </c>
      <c r="C21" s="40">
        <v>2844.6</v>
      </c>
      <c r="D21" s="9">
        <f t="shared" si="0"/>
        <v>-1.7579001899499236E-2</v>
      </c>
      <c r="F21" s="40">
        <v>14677.8</v>
      </c>
      <c r="G21" s="9">
        <f t="shared" si="1"/>
        <v>-9.8089481353554886E-3</v>
      </c>
      <c r="L21" t="s">
        <v>61</v>
      </c>
    </row>
    <row r="22" spans="2:20" x14ac:dyDescent="0.25">
      <c r="B22" s="41">
        <v>44333</v>
      </c>
      <c r="C22" s="40">
        <v>3034.1</v>
      </c>
      <c r="D22" s="9">
        <f t="shared" si="0"/>
        <v>6.6617450608169815E-2</v>
      </c>
      <c r="F22" s="40">
        <v>15175.3</v>
      </c>
      <c r="G22" s="9">
        <f t="shared" si="1"/>
        <v>3.3894725367561884E-2</v>
      </c>
      <c r="L22" s="46"/>
      <c r="M22" s="46" t="s">
        <v>66</v>
      </c>
      <c r="N22" s="46" t="s">
        <v>67</v>
      </c>
      <c r="O22" s="46" t="s">
        <v>68</v>
      </c>
      <c r="P22" s="46" t="s">
        <v>69</v>
      </c>
      <c r="Q22" s="46" t="s">
        <v>70</v>
      </c>
    </row>
    <row r="23" spans="2:20" x14ac:dyDescent="0.25">
      <c r="B23" s="41">
        <v>44340</v>
      </c>
      <c r="C23" s="40">
        <v>3022.1</v>
      </c>
      <c r="D23" s="9">
        <f t="shared" si="0"/>
        <v>-3.9550443294551485E-3</v>
      </c>
      <c r="F23" s="40">
        <v>15435.7</v>
      </c>
      <c r="G23" s="9">
        <f t="shared" si="1"/>
        <v>1.7159463074865267E-2</v>
      </c>
      <c r="L23" t="s">
        <v>62</v>
      </c>
      <c r="M23">
        <v>1</v>
      </c>
      <c r="N23">
        <v>6.4484835839098448E-2</v>
      </c>
      <c r="O23">
        <v>6.4484835839098448E-2</v>
      </c>
      <c r="P23">
        <v>36.064985199840379</v>
      </c>
      <c r="Q23">
        <v>2.9601287490140681E-8</v>
      </c>
    </row>
    <row r="24" spans="2:20" x14ac:dyDescent="0.25">
      <c r="B24" s="41">
        <v>44347</v>
      </c>
      <c r="C24" s="40">
        <v>3197</v>
      </c>
      <c r="D24" s="9">
        <f t="shared" si="0"/>
        <v>5.7873664008470938E-2</v>
      </c>
      <c r="F24" s="40">
        <v>15670.3</v>
      </c>
      <c r="G24" s="9">
        <f t="shared" si="1"/>
        <v>1.5198533270275982E-2</v>
      </c>
      <c r="L24" t="s">
        <v>63</v>
      </c>
      <c r="M24">
        <v>102</v>
      </c>
      <c r="N24">
        <v>0.1823778165758724</v>
      </c>
      <c r="O24">
        <v>1.7880178095673765E-3</v>
      </c>
    </row>
    <row r="25" spans="2:20" ht="15.75" thickBot="1" x14ac:dyDescent="0.3">
      <c r="B25" s="41">
        <v>44354</v>
      </c>
      <c r="C25" s="40">
        <v>3175.6</v>
      </c>
      <c r="D25" s="9">
        <f t="shared" si="0"/>
        <v>-6.693775414451042E-3</v>
      </c>
      <c r="F25" s="40">
        <v>15799.3</v>
      </c>
      <c r="G25" s="9">
        <f t="shared" si="1"/>
        <v>8.2321333988499834E-3</v>
      </c>
      <c r="L25" s="45" t="s">
        <v>64</v>
      </c>
      <c r="M25" s="45">
        <v>103</v>
      </c>
      <c r="N25" s="45">
        <v>0.24686265241497085</v>
      </c>
      <c r="O25" s="45"/>
      <c r="P25" s="45"/>
      <c r="Q25" s="45"/>
    </row>
    <row r="26" spans="2:20" ht="15.75" thickBot="1" x14ac:dyDescent="0.3">
      <c r="B26" s="41">
        <v>44361</v>
      </c>
      <c r="C26" s="40">
        <v>3317.7</v>
      </c>
      <c r="D26" s="9">
        <f t="shared" si="0"/>
        <v>4.4747449300919451E-2</v>
      </c>
      <c r="F26" s="40">
        <v>15683.3</v>
      </c>
      <c r="G26" s="9">
        <f t="shared" si="1"/>
        <v>-7.3420974346964929E-3</v>
      </c>
    </row>
    <row r="27" spans="2:20" x14ac:dyDescent="0.25">
      <c r="B27" s="41">
        <v>44368</v>
      </c>
      <c r="C27" s="40">
        <v>3315.4</v>
      </c>
      <c r="D27" s="9">
        <f t="shared" si="0"/>
        <v>-6.9325134882591843E-4</v>
      </c>
      <c r="F27" s="40">
        <v>15860.3</v>
      </c>
      <c r="G27" s="9">
        <f t="shared" si="1"/>
        <v>1.1285890086907724E-2</v>
      </c>
      <c r="L27" s="46"/>
      <c r="M27" s="46" t="s">
        <v>71</v>
      </c>
      <c r="N27" s="46" t="s">
        <v>59</v>
      </c>
      <c r="O27" s="46" t="s">
        <v>72</v>
      </c>
      <c r="P27" s="46" t="s">
        <v>73</v>
      </c>
      <c r="Q27" s="46" t="s">
        <v>74</v>
      </c>
      <c r="R27" s="46" t="s">
        <v>75</v>
      </c>
      <c r="S27" s="46" t="s">
        <v>76</v>
      </c>
      <c r="T27" s="46" t="s">
        <v>77</v>
      </c>
    </row>
    <row r="28" spans="2:20" x14ac:dyDescent="0.25">
      <c r="B28" s="41">
        <v>44375</v>
      </c>
      <c r="C28" s="40">
        <v>3314.3</v>
      </c>
      <c r="D28" s="9">
        <f t="shared" si="0"/>
        <v>-3.3178500331787486E-4</v>
      </c>
      <c r="F28" s="40">
        <v>15722.2</v>
      </c>
      <c r="G28" s="9">
        <f t="shared" si="1"/>
        <v>-8.7072753983215012E-3</v>
      </c>
      <c r="L28" t="s">
        <v>65</v>
      </c>
      <c r="M28">
        <v>1.0685559992921296E-4</v>
      </c>
      <c r="N28">
        <v>4.1708240440153583E-3</v>
      </c>
      <c r="O28">
        <v>2.5619781319362579E-2</v>
      </c>
      <c r="P28">
        <v>0.97961066430393151</v>
      </c>
      <c r="Q28">
        <v>-8.1659541156753109E-3</v>
      </c>
      <c r="R28">
        <v>8.3796653155337377E-3</v>
      </c>
      <c r="S28">
        <v>-8.1659541156753109E-3</v>
      </c>
      <c r="T28">
        <v>8.3796653155337377E-3</v>
      </c>
    </row>
    <row r="29" spans="2:20" ht="15.75" thickBot="1" x14ac:dyDescent="0.3">
      <c r="B29" s="41">
        <v>44382</v>
      </c>
      <c r="C29" s="40">
        <v>3377.6</v>
      </c>
      <c r="D29" s="9">
        <f t="shared" si="0"/>
        <v>1.9099055607518789E-2</v>
      </c>
      <c r="F29" s="40">
        <v>15689.8</v>
      </c>
      <c r="G29" s="9">
        <f t="shared" si="1"/>
        <v>-2.0607802979227818E-3</v>
      </c>
      <c r="L29" s="45" t="s">
        <v>78</v>
      </c>
      <c r="M29" s="48">
        <v>1.2421252296486511</v>
      </c>
      <c r="N29" s="45">
        <v>0.20683427291066647</v>
      </c>
      <c r="O29" s="45">
        <v>6.0054129916135119</v>
      </c>
      <c r="P29" s="45">
        <v>2.9601287490141068E-8</v>
      </c>
      <c r="Q29" s="45">
        <v>0.83187043002204319</v>
      </c>
      <c r="R29" s="45">
        <v>1.6523800292752591</v>
      </c>
      <c r="S29" s="45">
        <v>0.83187043002204319</v>
      </c>
      <c r="T29" s="45">
        <v>1.6523800292752591</v>
      </c>
    </row>
    <row r="30" spans="2:20" x14ac:dyDescent="0.25">
      <c r="B30" s="41">
        <v>44389</v>
      </c>
      <c r="C30" s="40">
        <v>3349.2</v>
      </c>
      <c r="D30" s="9">
        <f t="shared" si="0"/>
        <v>-8.4083372809095058E-3</v>
      </c>
      <c r="F30" s="40">
        <v>15923.4</v>
      </c>
      <c r="G30" s="9">
        <f t="shared" si="1"/>
        <v>1.4888653775064098E-2</v>
      </c>
    </row>
    <row r="31" spans="2:20" x14ac:dyDescent="0.25">
      <c r="B31" s="41">
        <v>44396</v>
      </c>
      <c r="C31" s="40">
        <v>3413.2</v>
      </c>
      <c r="D31" s="9">
        <f t="shared" si="0"/>
        <v>1.9109040965006541E-2</v>
      </c>
      <c r="F31" s="40">
        <v>15856</v>
      </c>
      <c r="G31" s="9">
        <f t="shared" si="1"/>
        <v>-4.2327643593704778E-3</v>
      </c>
    </row>
    <row r="32" spans="2:20" x14ac:dyDescent="0.25">
      <c r="B32" s="41">
        <v>44403</v>
      </c>
      <c r="C32" s="40">
        <v>3500.8</v>
      </c>
      <c r="D32" s="9">
        <f t="shared" si="0"/>
        <v>2.5665065041603263E-2</v>
      </c>
      <c r="F32" s="40">
        <v>15763</v>
      </c>
      <c r="G32" s="9">
        <f t="shared" si="1"/>
        <v>-5.865287588294632E-3</v>
      </c>
    </row>
    <row r="33" spans="2:7" x14ac:dyDescent="0.25">
      <c r="B33" s="41">
        <v>44410</v>
      </c>
      <c r="C33" s="40">
        <v>3529.2</v>
      </c>
      <c r="D33" s="9">
        <f t="shared" si="0"/>
        <v>8.1124314442411194E-3</v>
      </c>
      <c r="F33" s="40">
        <v>16238.2</v>
      </c>
      <c r="G33" s="9">
        <f t="shared" si="1"/>
        <v>3.0146545708304329E-2</v>
      </c>
    </row>
    <row r="34" spans="2:7" x14ac:dyDescent="0.25">
      <c r="B34" s="41">
        <v>44417</v>
      </c>
      <c r="C34" s="40">
        <v>3594.6</v>
      </c>
      <c r="D34" s="9">
        <f t="shared" si="0"/>
        <v>1.8531111866711969E-2</v>
      </c>
      <c r="F34" s="40">
        <v>16529.099999999999</v>
      </c>
      <c r="G34" s="9">
        <f t="shared" si="1"/>
        <v>1.7914547178874418E-2</v>
      </c>
    </row>
    <row r="35" spans="2:7" x14ac:dyDescent="0.25">
      <c r="B35" s="41">
        <v>44424</v>
      </c>
      <c r="C35" s="40">
        <v>3643.1</v>
      </c>
      <c r="D35" s="9">
        <f t="shared" si="0"/>
        <v>1.3492460913592685E-2</v>
      </c>
      <c r="F35" s="40">
        <v>16450.5</v>
      </c>
      <c r="G35" s="9">
        <f t="shared" si="1"/>
        <v>-4.7552498321141723E-3</v>
      </c>
    </row>
    <row r="36" spans="2:7" x14ac:dyDescent="0.25">
      <c r="B36" s="41">
        <v>44431</v>
      </c>
      <c r="C36" s="40">
        <v>3833.1</v>
      </c>
      <c r="D36" s="9">
        <f t="shared" si="0"/>
        <v>5.2153385852707901E-2</v>
      </c>
      <c r="F36" s="40">
        <v>16705.2</v>
      </c>
      <c r="G36" s="9">
        <f t="shared" si="1"/>
        <v>1.5482812072581398E-2</v>
      </c>
    </row>
    <row r="37" spans="2:7" x14ac:dyDescent="0.25">
      <c r="B37" s="41">
        <v>44438</v>
      </c>
      <c r="C37" s="40">
        <v>3938.9</v>
      </c>
      <c r="D37" s="9">
        <f t="shared" si="0"/>
        <v>2.7601680102267157E-2</v>
      </c>
      <c r="F37" s="40">
        <v>17323.599999999999</v>
      </c>
      <c r="G37" s="9">
        <f t="shared" si="1"/>
        <v>3.7018413428153929E-2</v>
      </c>
    </row>
    <row r="38" spans="2:7" x14ac:dyDescent="0.25">
      <c r="B38" s="41">
        <v>44445</v>
      </c>
      <c r="C38" s="40">
        <v>3950.5</v>
      </c>
      <c r="D38" s="9">
        <f t="shared" si="0"/>
        <v>2.9449846403817315E-3</v>
      </c>
      <c r="F38" s="40">
        <v>17369.3</v>
      </c>
      <c r="G38" s="9">
        <f t="shared" si="1"/>
        <v>2.6380198111246589E-3</v>
      </c>
    </row>
    <row r="39" spans="2:7" x14ac:dyDescent="0.25">
      <c r="B39" s="41">
        <v>44452</v>
      </c>
      <c r="C39" s="40">
        <v>4239.6000000000004</v>
      </c>
      <c r="D39" s="9">
        <f t="shared" si="0"/>
        <v>7.3180610049360828E-2</v>
      </c>
      <c r="F39" s="40">
        <v>17585.2</v>
      </c>
      <c r="G39" s="9">
        <f t="shared" si="1"/>
        <v>1.2429977028435291E-2</v>
      </c>
    </row>
    <row r="40" spans="2:7" x14ac:dyDescent="0.25">
      <c r="B40" s="41">
        <v>44459</v>
      </c>
      <c r="C40" s="40">
        <v>4422.3999999999996</v>
      </c>
      <c r="D40" s="9">
        <f t="shared" si="0"/>
        <v>4.3117275214642703E-2</v>
      </c>
      <c r="F40" s="40">
        <v>17853.2</v>
      </c>
      <c r="G40" s="9">
        <f t="shared" si="1"/>
        <v>1.5240088256033513E-2</v>
      </c>
    </row>
    <row r="41" spans="2:7" x14ac:dyDescent="0.25">
      <c r="B41" s="41">
        <v>44466</v>
      </c>
      <c r="C41" s="40">
        <v>4235.6000000000004</v>
      </c>
      <c r="D41" s="9">
        <f t="shared" si="0"/>
        <v>-4.2239507959478839E-2</v>
      </c>
      <c r="F41" s="40">
        <v>17532.099999999999</v>
      </c>
      <c r="G41" s="9">
        <f t="shared" si="1"/>
        <v>-1.7985571214124252E-2</v>
      </c>
    </row>
    <row r="42" spans="2:7" x14ac:dyDescent="0.25">
      <c r="B42" s="41">
        <v>44473</v>
      </c>
      <c r="C42" s="40">
        <v>4408</v>
      </c>
      <c r="D42" s="9">
        <f t="shared" si="0"/>
        <v>4.0702615922183272E-2</v>
      </c>
      <c r="F42" s="40">
        <v>17895.2</v>
      </c>
      <c r="G42" s="9">
        <f t="shared" si="1"/>
        <v>2.0710582303318015E-2</v>
      </c>
    </row>
    <row r="43" spans="2:7" x14ac:dyDescent="0.25">
      <c r="B43" s="41">
        <v>44480</v>
      </c>
      <c r="C43" s="40">
        <v>5323.8</v>
      </c>
      <c r="D43" s="9">
        <f t="shared" si="0"/>
        <v>0.20775862068965512</v>
      </c>
      <c r="F43" s="40">
        <v>18338.599999999999</v>
      </c>
      <c r="G43" s="9">
        <f t="shared" si="1"/>
        <v>2.4777593991684776E-2</v>
      </c>
    </row>
    <row r="44" spans="2:7" x14ac:dyDescent="0.25">
      <c r="B44" s="41">
        <v>44487</v>
      </c>
      <c r="C44" s="40">
        <v>4521.5</v>
      </c>
      <c r="D44" s="9">
        <f t="shared" si="0"/>
        <v>-0.15070062737142642</v>
      </c>
      <c r="F44" s="40">
        <v>18114.900000000001</v>
      </c>
      <c r="G44" s="9">
        <f t="shared" si="1"/>
        <v>-1.2198313938904692E-2</v>
      </c>
    </row>
    <row r="45" spans="2:7" x14ac:dyDescent="0.25">
      <c r="B45" s="41">
        <v>44494</v>
      </c>
      <c r="C45" s="40">
        <v>4635.5</v>
      </c>
      <c r="D45" s="9">
        <f t="shared" si="0"/>
        <v>2.5212871834568107E-2</v>
      </c>
      <c r="F45" s="40">
        <v>17671.7</v>
      </c>
      <c r="G45" s="9">
        <f t="shared" si="1"/>
        <v>-2.4466047287039938E-2</v>
      </c>
    </row>
    <row r="46" spans="2:7" x14ac:dyDescent="0.25">
      <c r="B46" s="41">
        <v>44501</v>
      </c>
      <c r="C46" s="40">
        <v>4783.7</v>
      </c>
      <c r="D46" s="9">
        <f t="shared" si="0"/>
        <v>3.1970661201596418E-2</v>
      </c>
      <c r="F46" s="40">
        <v>17916.8</v>
      </c>
      <c r="G46" s="9">
        <f t="shared" si="1"/>
        <v>1.3869633368606138E-2</v>
      </c>
    </row>
    <row r="47" spans="2:7" x14ac:dyDescent="0.25">
      <c r="B47" s="41">
        <v>44508</v>
      </c>
      <c r="C47" s="40">
        <v>5078.5</v>
      </c>
      <c r="D47" s="9">
        <f t="shared" si="0"/>
        <v>6.1625938081401488E-2</v>
      </c>
      <c r="F47" s="40">
        <v>18102.8</v>
      </c>
      <c r="G47" s="9">
        <f t="shared" si="1"/>
        <v>1.0381318092516523E-2</v>
      </c>
    </row>
    <row r="48" spans="2:7" x14ac:dyDescent="0.25">
      <c r="B48" s="41">
        <v>44515</v>
      </c>
      <c r="C48" s="40">
        <v>5080.8999999999996</v>
      </c>
      <c r="D48" s="9">
        <f t="shared" si="0"/>
        <v>4.7258048636411587E-4</v>
      </c>
      <c r="F48" s="40">
        <v>17764.8</v>
      </c>
      <c r="G48" s="9">
        <f t="shared" si="1"/>
        <v>-1.8671144795280314E-2</v>
      </c>
    </row>
    <row r="49" spans="2:7" x14ac:dyDescent="0.25">
      <c r="B49" s="41">
        <v>44522</v>
      </c>
      <c r="C49" s="40">
        <v>4718.8</v>
      </c>
      <c r="D49" s="9">
        <f t="shared" si="0"/>
        <v>-7.1266901533192817E-2</v>
      </c>
      <c r="F49" s="40">
        <v>17026.400000000001</v>
      </c>
      <c r="G49" s="9">
        <f t="shared" si="1"/>
        <v>-4.1565342700170982E-2</v>
      </c>
    </row>
    <row r="50" spans="2:7" x14ac:dyDescent="0.25">
      <c r="B50" s="41">
        <v>44529</v>
      </c>
      <c r="C50" s="40">
        <v>4799</v>
      </c>
      <c r="D50" s="9">
        <f t="shared" si="0"/>
        <v>1.6995846401627546E-2</v>
      </c>
      <c r="F50" s="40">
        <v>17196.7</v>
      </c>
      <c r="G50" s="9">
        <f t="shared" si="1"/>
        <v>1.0002114363576453E-2</v>
      </c>
    </row>
    <row r="51" spans="2:7" x14ac:dyDescent="0.25">
      <c r="B51" s="41">
        <v>44536</v>
      </c>
      <c r="C51" s="40">
        <v>4796.6000000000004</v>
      </c>
      <c r="D51" s="9">
        <f t="shared" si="0"/>
        <v>-5.00104188372541E-4</v>
      </c>
      <c r="F51" s="40">
        <v>17511.3</v>
      </c>
      <c r="G51" s="9">
        <f t="shared" si="1"/>
        <v>1.8294207609599322E-2</v>
      </c>
    </row>
    <row r="52" spans="2:7" x14ac:dyDescent="0.25">
      <c r="B52" s="41">
        <v>44543</v>
      </c>
      <c r="C52" s="40">
        <v>4697.8</v>
      </c>
      <c r="D52" s="9">
        <f t="shared" si="0"/>
        <v>-2.0597923529166562E-2</v>
      </c>
      <c r="F52" s="40">
        <v>16985.2</v>
      </c>
      <c r="G52" s="9">
        <f t="shared" si="1"/>
        <v>-3.004345765305827E-2</v>
      </c>
    </row>
    <row r="53" spans="2:7" x14ac:dyDescent="0.25">
      <c r="B53" s="41">
        <v>44550</v>
      </c>
      <c r="C53" s="40">
        <v>4628.8999999999996</v>
      </c>
      <c r="D53" s="9">
        <f t="shared" si="0"/>
        <v>-1.4666439610030335E-2</v>
      </c>
      <c r="F53" s="40">
        <v>17003.8</v>
      </c>
      <c r="G53" s="9">
        <f t="shared" si="1"/>
        <v>1.0950710029906663E-3</v>
      </c>
    </row>
    <row r="54" spans="2:7" x14ac:dyDescent="0.25">
      <c r="B54" s="41">
        <v>44557</v>
      </c>
      <c r="C54" s="40">
        <v>4671.5</v>
      </c>
      <c r="D54" s="9">
        <f t="shared" si="0"/>
        <v>9.2030504007432068E-3</v>
      </c>
      <c r="F54" s="40">
        <v>17354.099999999999</v>
      </c>
      <c r="G54" s="9">
        <f t="shared" si="1"/>
        <v>2.0601277361530945E-2</v>
      </c>
    </row>
    <row r="55" spans="2:7" x14ac:dyDescent="0.25">
      <c r="B55" s="41">
        <v>44564</v>
      </c>
      <c r="C55" s="40">
        <v>4731.3999999999996</v>
      </c>
      <c r="D55" s="9">
        <f t="shared" si="0"/>
        <v>1.2822433907738295E-2</v>
      </c>
      <c r="F55" s="40">
        <v>17812.7</v>
      </c>
      <c r="G55" s="9">
        <f t="shared" si="1"/>
        <v>2.6426031888718171E-2</v>
      </c>
    </row>
    <row r="56" spans="2:7" x14ac:dyDescent="0.25">
      <c r="B56" s="41">
        <v>44571</v>
      </c>
      <c r="C56" s="40">
        <v>4322.7</v>
      </c>
      <c r="D56" s="9">
        <f t="shared" si="0"/>
        <v>-8.6380352538360738E-2</v>
      </c>
      <c r="F56" s="40">
        <v>18255.8</v>
      </c>
      <c r="G56" s="9">
        <f t="shared" si="1"/>
        <v>2.4875510169710235E-2</v>
      </c>
    </row>
    <row r="57" spans="2:7" x14ac:dyDescent="0.25">
      <c r="B57" s="41">
        <v>44578</v>
      </c>
      <c r="C57" s="40">
        <v>4299.8</v>
      </c>
      <c r="D57" s="9">
        <f t="shared" si="0"/>
        <v>-5.2976149166029662E-3</v>
      </c>
      <c r="F57" s="40">
        <v>17617.2</v>
      </c>
      <c r="G57" s="9">
        <f t="shared" si="1"/>
        <v>-3.4980663679488044E-2</v>
      </c>
    </row>
    <row r="58" spans="2:7" x14ac:dyDescent="0.25">
      <c r="B58" s="41">
        <v>44585</v>
      </c>
      <c r="C58" s="40">
        <v>4076</v>
      </c>
      <c r="D58" s="9">
        <f t="shared" si="0"/>
        <v>-5.2048932508488854E-2</v>
      </c>
      <c r="F58" s="40">
        <v>17101.900000000001</v>
      </c>
      <c r="G58" s="9">
        <f t="shared" si="1"/>
        <v>-2.9249824035601502E-2</v>
      </c>
    </row>
    <row r="59" spans="2:7" x14ac:dyDescent="0.25">
      <c r="B59" s="41">
        <v>44592</v>
      </c>
      <c r="C59" s="40">
        <v>4081.9</v>
      </c>
      <c r="D59" s="9">
        <f t="shared" si="0"/>
        <v>1.4474975466143292E-3</v>
      </c>
      <c r="F59" s="40">
        <v>17516.3</v>
      </c>
      <c r="G59" s="9">
        <f t="shared" si="1"/>
        <v>2.4231225770235953E-2</v>
      </c>
    </row>
    <row r="60" spans="2:7" x14ac:dyDescent="0.25">
      <c r="B60" s="41">
        <v>44599</v>
      </c>
      <c r="C60" s="40">
        <v>4142.3</v>
      </c>
      <c r="D60" s="9">
        <f t="shared" si="0"/>
        <v>1.4797030794482913E-2</v>
      </c>
      <c r="F60" s="40">
        <v>17374.8</v>
      </c>
      <c r="G60" s="9">
        <f t="shared" si="1"/>
        <v>-8.0781900287161257E-3</v>
      </c>
    </row>
    <row r="61" spans="2:7" x14ac:dyDescent="0.25">
      <c r="B61" s="41">
        <v>44606</v>
      </c>
      <c r="C61" s="40">
        <v>4073.1</v>
      </c>
      <c r="D61" s="9">
        <f t="shared" si="0"/>
        <v>-1.6705694903797474E-2</v>
      </c>
      <c r="F61" s="40">
        <v>17276.3</v>
      </c>
      <c r="G61" s="9">
        <f t="shared" si="1"/>
        <v>-5.6691300043741899E-3</v>
      </c>
    </row>
    <row r="62" spans="2:7" x14ac:dyDescent="0.25">
      <c r="B62" s="41">
        <v>44613</v>
      </c>
      <c r="C62" s="40">
        <v>4190.8</v>
      </c>
      <c r="D62" s="9">
        <f t="shared" si="0"/>
        <v>2.8896908988240044E-2</v>
      </c>
      <c r="F62" s="40">
        <v>16658.400000000001</v>
      </c>
      <c r="G62" s="9">
        <f t="shared" si="1"/>
        <v>-3.5765760029635829E-2</v>
      </c>
    </row>
    <row r="63" spans="2:7" x14ac:dyDescent="0.25">
      <c r="B63" s="41">
        <v>44620</v>
      </c>
      <c r="C63" s="40">
        <v>4110.2</v>
      </c>
      <c r="D63" s="9">
        <f t="shared" si="0"/>
        <v>-1.9232604753269156E-2</v>
      </c>
      <c r="F63" s="40">
        <v>16245.3</v>
      </c>
      <c r="G63" s="9">
        <f t="shared" si="1"/>
        <v>-2.4798299956778735E-2</v>
      </c>
    </row>
    <row r="64" spans="2:7" x14ac:dyDescent="0.25">
      <c r="B64" s="41">
        <v>44627</v>
      </c>
      <c r="C64" s="40">
        <v>4199</v>
      </c>
      <c r="D64" s="9">
        <f t="shared" si="0"/>
        <v>2.1604788088170901E-2</v>
      </c>
      <c r="F64" s="40">
        <v>16630.400000000001</v>
      </c>
      <c r="G64" s="9">
        <f t="shared" si="1"/>
        <v>2.3705317845777119E-2</v>
      </c>
    </row>
    <row r="65" spans="2:7" x14ac:dyDescent="0.25">
      <c r="B65" s="41">
        <v>44634</v>
      </c>
      <c r="C65" s="40">
        <v>4192.8</v>
      </c>
      <c r="D65" s="9">
        <f t="shared" si="0"/>
        <v>-1.4765420338175295E-3</v>
      </c>
      <c r="F65" s="40">
        <v>17287.099999999999</v>
      </c>
      <c r="G65" s="9">
        <f t="shared" si="1"/>
        <v>3.9487925726380491E-2</v>
      </c>
    </row>
    <row r="66" spans="2:7" x14ac:dyDescent="0.25">
      <c r="B66" s="41">
        <v>44641</v>
      </c>
      <c r="C66" s="40">
        <v>4001.3</v>
      </c>
      <c r="D66" s="9">
        <f t="shared" si="0"/>
        <v>-4.5673535584812019E-2</v>
      </c>
      <c r="F66" s="40">
        <v>17153</v>
      </c>
      <c r="G66" s="9">
        <f t="shared" si="1"/>
        <v>-7.7572293791323688E-3</v>
      </c>
    </row>
    <row r="67" spans="2:7" x14ac:dyDescent="0.25">
      <c r="B67" s="41">
        <v>44648</v>
      </c>
      <c r="C67" s="40">
        <v>4082.2</v>
      </c>
      <c r="D67" s="9">
        <f t="shared" si="0"/>
        <v>2.0218429010571581E-2</v>
      </c>
      <c r="F67" s="40">
        <v>17670.400000000001</v>
      </c>
      <c r="G67" s="9">
        <f t="shared" si="1"/>
        <v>3.0163819739987163E-2</v>
      </c>
    </row>
    <row r="68" spans="2:7" x14ac:dyDescent="0.25">
      <c r="B68" s="41">
        <v>44655</v>
      </c>
      <c r="C68" s="40">
        <v>4146.3</v>
      </c>
      <c r="D68" s="9">
        <f t="shared" si="0"/>
        <v>1.5702317377884523E-2</v>
      </c>
      <c r="F68" s="40">
        <v>17784.3</v>
      </c>
      <c r="G68" s="9">
        <f t="shared" si="1"/>
        <v>6.4458076783773244E-3</v>
      </c>
    </row>
    <row r="69" spans="2:7" x14ac:dyDescent="0.25">
      <c r="B69" s="41">
        <v>44662</v>
      </c>
      <c r="C69" s="40">
        <v>4090.9</v>
      </c>
      <c r="D69" s="9">
        <f t="shared" si="0"/>
        <v>-1.3361310083689126E-2</v>
      </c>
      <c r="F69" s="40">
        <v>17475.7</v>
      </c>
      <c r="G69" s="9">
        <f t="shared" si="1"/>
        <v>-1.7352383844177033E-2</v>
      </c>
    </row>
    <row r="70" spans="2:7" x14ac:dyDescent="0.25">
      <c r="B70" s="41">
        <v>44669</v>
      </c>
      <c r="C70" s="40">
        <v>4028.9</v>
      </c>
      <c r="D70" s="9">
        <f t="shared" si="0"/>
        <v>-1.5155589234642775E-2</v>
      </c>
      <c r="F70" s="40">
        <v>17171.900000000001</v>
      </c>
      <c r="G70" s="9">
        <f t="shared" si="1"/>
        <v>-1.7384139118890807E-2</v>
      </c>
    </row>
    <row r="71" spans="2:7" x14ac:dyDescent="0.25">
      <c r="B71" s="41">
        <v>44676</v>
      </c>
      <c r="C71" s="40">
        <v>3944.3</v>
      </c>
      <c r="D71" s="9">
        <f t="shared" si="0"/>
        <v>-2.0998287373724778E-2</v>
      </c>
      <c r="F71" s="40">
        <v>17102.599999999999</v>
      </c>
      <c r="G71" s="9">
        <f t="shared" si="1"/>
        <v>-4.0356629144127076E-3</v>
      </c>
    </row>
    <row r="72" spans="2:7" x14ac:dyDescent="0.25">
      <c r="B72" s="41">
        <v>44683</v>
      </c>
      <c r="C72" s="40">
        <v>3666.2</v>
      </c>
      <c r="D72" s="9">
        <f t="shared" si="0"/>
        <v>-7.050680729153469E-2</v>
      </c>
      <c r="F72" s="40">
        <v>16411.3</v>
      </c>
      <c r="G72" s="9">
        <f t="shared" si="1"/>
        <v>-4.0420754739045495E-2</v>
      </c>
    </row>
    <row r="73" spans="2:7" x14ac:dyDescent="0.25">
      <c r="B73" s="41">
        <v>44690</v>
      </c>
      <c r="C73" s="40">
        <v>3230.6</v>
      </c>
      <c r="D73" s="9">
        <f t="shared" si="0"/>
        <v>-0.11881512192460852</v>
      </c>
      <c r="F73" s="40">
        <v>15782.2</v>
      </c>
      <c r="G73" s="9">
        <f t="shared" si="1"/>
        <v>-3.8333343488937466E-2</v>
      </c>
    </row>
    <row r="74" spans="2:7" x14ac:dyDescent="0.25">
      <c r="B74" s="41">
        <v>44697</v>
      </c>
      <c r="C74" s="40">
        <v>3630.4</v>
      </c>
      <c r="D74" s="9">
        <f t="shared" si="0"/>
        <v>0.12375410140531184</v>
      </c>
      <c r="F74" s="40">
        <v>16266.2</v>
      </c>
      <c r="G74" s="9">
        <f t="shared" si="1"/>
        <v>3.0667460810279934E-2</v>
      </c>
    </row>
    <row r="75" spans="2:7" x14ac:dyDescent="0.25">
      <c r="B75" s="41">
        <v>44704</v>
      </c>
      <c r="C75" s="40">
        <v>3613.9</v>
      </c>
      <c r="D75" s="9">
        <f t="shared" si="0"/>
        <v>-4.5449537241075699E-3</v>
      </c>
      <c r="F75" s="40">
        <v>16352.5</v>
      </c>
      <c r="G75" s="9">
        <f t="shared" si="1"/>
        <v>5.3054800752481146E-3</v>
      </c>
    </row>
    <row r="76" spans="2:7" x14ac:dyDescent="0.25">
      <c r="B76" s="41">
        <v>44711</v>
      </c>
      <c r="C76" s="40">
        <v>3820.1</v>
      </c>
      <c r="D76" s="9">
        <f t="shared" ref="D76:D114" si="2">C76/C75-1</f>
        <v>5.7057472536594656E-2</v>
      </c>
      <c r="F76" s="40">
        <v>16584.3</v>
      </c>
      <c r="G76" s="9">
        <f t="shared" ref="G76:G114" si="3">F76/F75-1</f>
        <v>1.4175202568414536E-2</v>
      </c>
    </row>
    <row r="77" spans="2:7" x14ac:dyDescent="0.25">
      <c r="B77" s="41">
        <v>44718</v>
      </c>
      <c r="C77" s="40">
        <v>3755.6</v>
      </c>
      <c r="D77" s="9">
        <f t="shared" si="2"/>
        <v>-1.6884374754587594E-2</v>
      </c>
      <c r="F77" s="40">
        <v>16201.8</v>
      </c>
      <c r="G77" s="9">
        <f t="shared" si="3"/>
        <v>-2.3063982200032584E-2</v>
      </c>
    </row>
    <row r="78" spans="2:7" x14ac:dyDescent="0.25">
      <c r="B78" s="41">
        <v>44725</v>
      </c>
      <c r="C78" s="40">
        <v>3460.6</v>
      </c>
      <c r="D78" s="9">
        <f t="shared" si="2"/>
        <v>-7.8549366279689004E-2</v>
      </c>
      <c r="F78" s="40">
        <v>15293.5</v>
      </c>
      <c r="G78" s="9">
        <f t="shared" si="3"/>
        <v>-5.6061672159883447E-2</v>
      </c>
    </row>
    <row r="79" spans="2:7" x14ac:dyDescent="0.25">
      <c r="B79" s="41">
        <v>44732</v>
      </c>
      <c r="C79" s="40">
        <v>3412</v>
      </c>
      <c r="D79" s="9">
        <f t="shared" si="2"/>
        <v>-1.404380743223721E-2</v>
      </c>
      <c r="F79" s="40">
        <v>15699.3</v>
      </c>
      <c r="G79" s="9">
        <f t="shared" si="3"/>
        <v>2.6534148494458343E-2</v>
      </c>
    </row>
    <row r="80" spans="2:7" x14ac:dyDescent="0.25">
      <c r="B80" s="41">
        <v>44739</v>
      </c>
      <c r="C80" s="40">
        <v>3388.8</v>
      </c>
      <c r="D80" s="9">
        <f t="shared" si="2"/>
        <v>-6.7995310668229614E-3</v>
      </c>
      <c r="F80" s="40">
        <v>15752</v>
      </c>
      <c r="G80" s="9">
        <f t="shared" si="3"/>
        <v>3.3568375660062433E-3</v>
      </c>
    </row>
    <row r="81" spans="2:7" x14ac:dyDescent="0.25">
      <c r="B81" s="41">
        <v>44746</v>
      </c>
      <c r="C81" s="40">
        <v>3941.7</v>
      </c>
      <c r="D81" s="9">
        <f t="shared" si="2"/>
        <v>0.16315509915014159</v>
      </c>
      <c r="F81" s="40">
        <v>16220.6</v>
      </c>
      <c r="G81" s="9">
        <f t="shared" si="3"/>
        <v>2.9748603351955394E-2</v>
      </c>
    </row>
    <row r="82" spans="2:7" x14ac:dyDescent="0.25">
      <c r="B82" s="41">
        <v>44753</v>
      </c>
      <c r="C82" s="40">
        <v>3926.8</v>
      </c>
      <c r="D82" s="9">
        <f t="shared" si="2"/>
        <v>-3.7800948829184167E-3</v>
      </c>
      <c r="F82" s="40">
        <v>16049.2</v>
      </c>
      <c r="G82" s="9">
        <f t="shared" si="3"/>
        <v>-1.0566810105668067E-2</v>
      </c>
    </row>
    <row r="83" spans="2:7" x14ac:dyDescent="0.25">
      <c r="B83" s="41">
        <v>44760</v>
      </c>
      <c r="C83" s="40">
        <v>3963.4</v>
      </c>
      <c r="D83" s="9">
        <f t="shared" si="2"/>
        <v>9.3205663644697623E-3</v>
      </c>
      <c r="F83" s="40">
        <v>16719.400000000001</v>
      </c>
      <c r="G83" s="9">
        <f t="shared" si="3"/>
        <v>4.1759090795802978E-2</v>
      </c>
    </row>
    <row r="84" spans="2:7" x14ac:dyDescent="0.25">
      <c r="B84" s="41">
        <v>44767</v>
      </c>
      <c r="C84" s="40">
        <v>4243.8999999999996</v>
      </c>
      <c r="D84" s="9">
        <f t="shared" si="2"/>
        <v>7.0772569006408492E-2</v>
      </c>
      <c r="F84" s="40">
        <v>17158.3</v>
      </c>
      <c r="G84" s="9">
        <f t="shared" si="3"/>
        <v>2.625094201945033E-2</v>
      </c>
    </row>
    <row r="85" spans="2:7" x14ac:dyDescent="0.25">
      <c r="B85" s="41">
        <v>44774</v>
      </c>
      <c r="C85" s="40">
        <v>4232.3</v>
      </c>
      <c r="D85" s="9">
        <f t="shared" si="2"/>
        <v>-2.7333349042153454E-3</v>
      </c>
      <c r="F85" s="40">
        <v>17397.5</v>
      </c>
      <c r="G85" s="9">
        <f t="shared" si="3"/>
        <v>1.3940775018504103E-2</v>
      </c>
    </row>
    <row r="86" spans="2:7" x14ac:dyDescent="0.25">
      <c r="B86" s="41">
        <v>44781</v>
      </c>
      <c r="C86" s="40">
        <v>4336.7</v>
      </c>
      <c r="D86" s="9">
        <f t="shared" si="2"/>
        <v>2.4667438508612305E-2</v>
      </c>
      <c r="F86" s="40">
        <v>17698.2</v>
      </c>
      <c r="G86" s="9">
        <f t="shared" si="3"/>
        <v>1.7284092542031892E-2</v>
      </c>
    </row>
    <row r="87" spans="2:7" x14ac:dyDescent="0.25">
      <c r="B87" s="41">
        <v>44788</v>
      </c>
      <c r="C87" s="40">
        <v>4382</v>
      </c>
      <c r="D87" s="9">
        <f t="shared" si="2"/>
        <v>1.0445730624668581E-2</v>
      </c>
      <c r="F87" s="40">
        <v>17758.400000000001</v>
      </c>
      <c r="G87" s="9">
        <f t="shared" si="3"/>
        <v>3.4014758563019054E-3</v>
      </c>
    </row>
    <row r="88" spans="2:7" x14ac:dyDescent="0.25">
      <c r="B88" s="41">
        <v>44795</v>
      </c>
      <c r="C88" s="40">
        <v>4409.6000000000004</v>
      </c>
      <c r="D88" s="9">
        <f t="shared" si="2"/>
        <v>6.2984938384300637E-3</v>
      </c>
      <c r="F88" s="40">
        <v>17558.900000000001</v>
      </c>
      <c r="G88" s="9">
        <f t="shared" si="3"/>
        <v>-1.1234120191008223E-2</v>
      </c>
    </row>
    <row r="89" spans="2:7" x14ac:dyDescent="0.25">
      <c r="B89" s="41">
        <v>44802</v>
      </c>
      <c r="C89" s="40">
        <v>4576.8</v>
      </c>
      <c r="D89" s="9">
        <f t="shared" si="2"/>
        <v>3.7917271407837294E-2</v>
      </c>
      <c r="F89" s="40">
        <v>17539.400000000001</v>
      </c>
      <c r="G89" s="9">
        <f t="shared" si="3"/>
        <v>-1.1105479272619512E-3</v>
      </c>
    </row>
    <row r="90" spans="2:7" x14ac:dyDescent="0.25">
      <c r="B90" s="41">
        <v>44809</v>
      </c>
      <c r="C90" s="40">
        <v>4386.1000000000004</v>
      </c>
      <c r="D90" s="9">
        <f t="shared" si="2"/>
        <v>-4.166666666666663E-2</v>
      </c>
      <c r="F90" s="40">
        <v>17833.3</v>
      </c>
      <c r="G90" s="9">
        <f t="shared" si="3"/>
        <v>1.675655951742927E-2</v>
      </c>
    </row>
    <row r="91" spans="2:7" x14ac:dyDescent="0.25">
      <c r="B91" s="41">
        <v>44816</v>
      </c>
      <c r="C91" s="40">
        <v>4327.5</v>
      </c>
      <c r="D91" s="9">
        <f t="shared" si="2"/>
        <v>-1.3360388500034293E-2</v>
      </c>
      <c r="F91" s="40">
        <v>17530.8</v>
      </c>
      <c r="G91" s="9">
        <f t="shared" si="3"/>
        <v>-1.6962648528314972E-2</v>
      </c>
    </row>
    <row r="92" spans="2:7" x14ac:dyDescent="0.25">
      <c r="B92" s="41">
        <v>44823</v>
      </c>
      <c r="C92" s="40">
        <v>4367</v>
      </c>
      <c r="D92" s="9">
        <f t="shared" si="2"/>
        <v>9.127671865973408E-3</v>
      </c>
      <c r="F92" s="40">
        <v>17327.3</v>
      </c>
      <c r="G92" s="9">
        <f t="shared" si="3"/>
        <v>-1.1608141100235003E-2</v>
      </c>
    </row>
    <row r="93" spans="2:7" x14ac:dyDescent="0.25">
      <c r="B93" s="41">
        <v>44830</v>
      </c>
      <c r="C93" s="40">
        <v>4386.5</v>
      </c>
      <c r="D93" s="9">
        <f t="shared" si="2"/>
        <v>4.4653079917562621E-3</v>
      </c>
      <c r="F93" s="40">
        <v>17094.3</v>
      </c>
      <c r="G93" s="9">
        <f t="shared" si="3"/>
        <v>-1.3446988278612348E-2</v>
      </c>
    </row>
    <row r="94" spans="2:7" x14ac:dyDescent="0.25">
      <c r="B94" s="41">
        <v>44837</v>
      </c>
      <c r="C94" s="40">
        <v>4471.5</v>
      </c>
      <c r="D94" s="9">
        <f t="shared" si="2"/>
        <v>1.9377635928416792E-2</v>
      </c>
      <c r="F94" s="40">
        <v>17314.7</v>
      </c>
      <c r="G94" s="9">
        <f t="shared" si="3"/>
        <v>1.289318661776151E-2</v>
      </c>
    </row>
    <row r="95" spans="2:7" x14ac:dyDescent="0.25">
      <c r="B95" s="41">
        <v>44844</v>
      </c>
      <c r="C95" s="40">
        <v>4306.1000000000004</v>
      </c>
      <c r="D95" s="9">
        <f t="shared" si="2"/>
        <v>-3.6989824443698915E-2</v>
      </c>
      <c r="F95" s="40">
        <v>17185.7</v>
      </c>
      <c r="G95" s="9">
        <f t="shared" si="3"/>
        <v>-7.4503167828492423E-3</v>
      </c>
    </row>
    <row r="96" spans="2:7" x14ac:dyDescent="0.25">
      <c r="B96" s="41">
        <v>44851</v>
      </c>
      <c r="C96" s="40">
        <v>4215.5</v>
      </c>
      <c r="D96" s="9">
        <f t="shared" si="2"/>
        <v>-2.103992011332767E-2</v>
      </c>
      <c r="F96" s="40">
        <v>17576.3</v>
      </c>
      <c r="G96" s="9">
        <f t="shared" si="3"/>
        <v>2.2728198444055048E-2</v>
      </c>
    </row>
    <row r="97" spans="2:7" x14ac:dyDescent="0.25">
      <c r="B97" s="41">
        <v>44858</v>
      </c>
      <c r="C97" s="40">
        <v>4307.3999999999996</v>
      </c>
      <c r="D97" s="9">
        <f t="shared" si="2"/>
        <v>2.18004981615465E-2</v>
      </c>
      <c r="F97" s="40">
        <v>17786.8</v>
      </c>
      <c r="G97" s="9">
        <f t="shared" si="3"/>
        <v>1.1976354522851729E-2</v>
      </c>
    </row>
    <row r="98" spans="2:7" x14ac:dyDescent="0.25">
      <c r="B98" s="41">
        <v>44865</v>
      </c>
      <c r="C98" s="40">
        <v>4167.3999999999996</v>
      </c>
      <c r="D98" s="9">
        <f t="shared" si="2"/>
        <v>-3.2502205506802273E-2</v>
      </c>
      <c r="F98" s="40">
        <v>18117.2</v>
      </c>
      <c r="G98" s="9">
        <f t="shared" si="3"/>
        <v>1.8575572896754933E-2</v>
      </c>
    </row>
    <row r="99" spans="2:7" x14ac:dyDescent="0.25">
      <c r="B99" s="41">
        <v>44872</v>
      </c>
      <c r="C99" s="40">
        <v>4128.3999999999996</v>
      </c>
      <c r="D99" s="9">
        <f t="shared" si="2"/>
        <v>-9.3583529298842949E-3</v>
      </c>
      <c r="F99" s="40">
        <v>18349.7</v>
      </c>
      <c r="G99" s="9">
        <f t="shared" si="3"/>
        <v>1.2833108868920196E-2</v>
      </c>
    </row>
    <row r="100" spans="2:7" x14ac:dyDescent="0.25">
      <c r="B100" s="41">
        <v>44879</v>
      </c>
      <c r="C100" s="40">
        <v>3910.6</v>
      </c>
      <c r="D100" s="9">
        <f t="shared" si="2"/>
        <v>-5.2756515841488216E-2</v>
      </c>
      <c r="F100" s="40">
        <v>18307.7</v>
      </c>
      <c r="G100" s="9">
        <f t="shared" si="3"/>
        <v>-2.2888657580233396E-3</v>
      </c>
    </row>
    <row r="101" spans="2:7" x14ac:dyDescent="0.25">
      <c r="B101" s="41">
        <v>44886</v>
      </c>
      <c r="C101" s="40">
        <v>3904.4</v>
      </c>
      <c r="D101" s="9">
        <f t="shared" si="2"/>
        <v>-1.5854344601851089E-3</v>
      </c>
      <c r="F101" s="40">
        <v>18512.8</v>
      </c>
      <c r="G101" s="9">
        <f t="shared" si="3"/>
        <v>1.1202936469354441E-2</v>
      </c>
    </row>
    <row r="102" spans="2:7" x14ac:dyDescent="0.25">
      <c r="B102" s="41">
        <v>44893</v>
      </c>
      <c r="C102" s="40">
        <v>4005.8</v>
      </c>
      <c r="D102" s="9">
        <f t="shared" si="2"/>
        <v>2.5970699723389057E-2</v>
      </c>
      <c r="F102" s="40">
        <v>18696.099999999999</v>
      </c>
      <c r="G102" s="9">
        <f t="shared" si="3"/>
        <v>9.9012575083186061E-3</v>
      </c>
    </row>
    <row r="103" spans="2:7" x14ac:dyDescent="0.25">
      <c r="B103" s="41">
        <v>44900</v>
      </c>
      <c r="C103" s="40">
        <v>4002.4</v>
      </c>
      <c r="D103" s="9">
        <f t="shared" si="2"/>
        <v>-8.4876928453747613E-4</v>
      </c>
      <c r="F103" s="40">
        <v>18496.599999999999</v>
      </c>
      <c r="G103" s="9">
        <f t="shared" si="3"/>
        <v>-1.0670674632677457E-2</v>
      </c>
    </row>
    <row r="104" spans="2:7" x14ac:dyDescent="0.25">
      <c r="B104" s="41">
        <v>44907</v>
      </c>
      <c r="C104" s="40">
        <v>3990</v>
      </c>
      <c r="D104" s="9">
        <f t="shared" si="2"/>
        <v>-3.0981411153307992E-3</v>
      </c>
      <c r="F104" s="40">
        <v>18269</v>
      </c>
      <c r="G104" s="9">
        <f t="shared" si="3"/>
        <v>-1.2304964155574472E-2</v>
      </c>
    </row>
    <row r="105" spans="2:7" x14ac:dyDescent="0.25">
      <c r="B105" s="41">
        <v>44914</v>
      </c>
      <c r="C105" s="40">
        <v>3875.6</v>
      </c>
      <c r="D105" s="9">
        <f t="shared" si="2"/>
        <v>-2.8671679197994959E-2</v>
      </c>
      <c r="F105" s="40">
        <v>17806.8</v>
      </c>
      <c r="G105" s="9">
        <f t="shared" si="3"/>
        <v>-2.5299687996058973E-2</v>
      </c>
    </row>
    <row r="106" spans="2:7" x14ac:dyDescent="0.25">
      <c r="B106" s="41">
        <v>44921</v>
      </c>
      <c r="C106" s="40">
        <v>4068.8</v>
      </c>
      <c r="D106" s="9">
        <f t="shared" si="2"/>
        <v>4.9850345752915803E-2</v>
      </c>
      <c r="F106" s="40">
        <v>18105.3</v>
      </c>
      <c r="G106" s="9">
        <f t="shared" si="3"/>
        <v>1.6763258979715534E-2</v>
      </c>
    </row>
    <row r="107" spans="2:7" x14ac:dyDescent="0.25">
      <c r="B107" s="41">
        <v>44928</v>
      </c>
      <c r="C107" s="40">
        <v>3842.5</v>
      </c>
      <c r="D107" s="9">
        <f t="shared" si="2"/>
        <v>-5.5618364136846288E-2</v>
      </c>
      <c r="F107" s="40">
        <v>17859.400000000001</v>
      </c>
      <c r="G107" s="9">
        <f t="shared" si="3"/>
        <v>-1.3581658409415942E-2</v>
      </c>
    </row>
    <row r="108" spans="2:7" x14ac:dyDescent="0.25">
      <c r="B108" s="41">
        <v>44935</v>
      </c>
      <c r="C108" s="40">
        <v>3863.7</v>
      </c>
      <c r="D108" s="9">
        <f t="shared" si="2"/>
        <v>5.5172413793103114E-3</v>
      </c>
      <c r="F108" s="40">
        <v>17956.599999999999</v>
      </c>
      <c r="G108" s="9">
        <f t="shared" si="3"/>
        <v>5.4425120664747251E-3</v>
      </c>
    </row>
    <row r="109" spans="2:7" x14ac:dyDescent="0.25">
      <c r="B109" s="41">
        <v>44942</v>
      </c>
      <c r="C109" s="40">
        <v>3513.8</v>
      </c>
      <c r="D109" s="9">
        <f t="shared" si="2"/>
        <v>-9.0560861350518884E-2</v>
      </c>
      <c r="F109" s="40">
        <v>18027.7</v>
      </c>
      <c r="G109" s="9">
        <f t="shared" si="3"/>
        <v>3.9595469075439649E-3</v>
      </c>
    </row>
    <row r="110" spans="2:7" x14ac:dyDescent="0.25">
      <c r="B110" s="41">
        <v>44949</v>
      </c>
      <c r="C110" s="40">
        <v>3562.4</v>
      </c>
      <c r="D110" s="9">
        <f t="shared" si="2"/>
        <v>1.3831179919175707E-2</v>
      </c>
      <c r="F110" s="40">
        <v>17604.3</v>
      </c>
      <c r="G110" s="9">
        <f t="shared" si="3"/>
        <v>-2.3486079755043687E-2</v>
      </c>
    </row>
    <row r="111" spans="2:7" x14ac:dyDescent="0.25">
      <c r="B111" s="41">
        <v>44956</v>
      </c>
      <c r="C111" s="40">
        <v>3470.4</v>
      </c>
      <c r="D111" s="9">
        <f t="shared" si="2"/>
        <v>-2.5825286323826635E-2</v>
      </c>
      <c r="F111" s="40">
        <v>17854.099999999999</v>
      </c>
      <c r="G111" s="9">
        <f t="shared" si="3"/>
        <v>1.4189715012809412E-2</v>
      </c>
    </row>
    <row r="112" spans="2:7" x14ac:dyDescent="0.25">
      <c r="B112" s="41">
        <v>44963</v>
      </c>
      <c r="C112" s="40">
        <v>3498.9</v>
      </c>
      <c r="D112" s="9">
        <f t="shared" si="2"/>
        <v>8.2123098201936084E-3</v>
      </c>
      <c r="F112" s="40">
        <v>17856.5</v>
      </c>
      <c r="G112" s="9">
        <f t="shared" si="3"/>
        <v>1.34422905663234E-4</v>
      </c>
    </row>
    <row r="113" spans="2:7" x14ac:dyDescent="0.25">
      <c r="B113" s="41">
        <v>44970</v>
      </c>
      <c r="C113" s="40">
        <v>3545</v>
      </c>
      <c r="D113" s="9">
        <f t="shared" si="2"/>
        <v>1.3175569464688897E-2</v>
      </c>
      <c r="F113" s="40">
        <v>17944.2</v>
      </c>
      <c r="G113" s="9">
        <f t="shared" si="3"/>
        <v>4.9113768095652155E-3</v>
      </c>
    </row>
    <row r="114" spans="2:7" x14ac:dyDescent="0.25">
      <c r="B114" s="41">
        <v>44977</v>
      </c>
      <c r="C114" s="40">
        <v>3552.9</v>
      </c>
      <c r="D114" s="9">
        <f t="shared" si="2"/>
        <v>2.2284908321579255E-3</v>
      </c>
      <c r="F114" s="40">
        <v>17844.599999999999</v>
      </c>
      <c r="G114" s="9">
        <f t="shared" si="3"/>
        <v>-5.5505400073562194E-3</v>
      </c>
    </row>
  </sheetData>
  <mergeCells count="3">
    <mergeCell ref="B7:D7"/>
    <mergeCell ref="F7:G7"/>
    <mergeCell ref="I7:J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0947C-5612-49DB-9437-FE238D50B874}">
  <dimension ref="A5:G10"/>
  <sheetViews>
    <sheetView showGridLines="0" workbookViewId="0">
      <selection activeCell="B2" sqref="B2"/>
    </sheetView>
  </sheetViews>
  <sheetFormatPr defaultRowHeight="15" x14ac:dyDescent="0.25"/>
  <cols>
    <col min="1" max="1" width="1.85546875" style="35" customWidth="1"/>
    <col min="2" max="2" width="5.7109375" bestFit="1" customWidth="1"/>
    <col min="3" max="3" width="8.7109375" bestFit="1" customWidth="1"/>
    <col min="4" max="4" width="8" bestFit="1" customWidth="1"/>
    <col min="5" max="5" width="9.5703125" bestFit="1" customWidth="1"/>
    <col min="6" max="6" width="7.5703125" bestFit="1" customWidth="1"/>
  </cols>
  <sheetData>
    <row r="5" spans="2:7" ht="30" x14ac:dyDescent="0.25">
      <c r="B5" s="35" t="s">
        <v>86</v>
      </c>
      <c r="C5" s="35" t="s">
        <v>87</v>
      </c>
      <c r="D5" s="35" t="s">
        <v>88</v>
      </c>
      <c r="E5" s="35" t="s">
        <v>89</v>
      </c>
      <c r="F5" s="35" t="s">
        <v>90</v>
      </c>
      <c r="G5" s="35" t="s">
        <v>91</v>
      </c>
    </row>
    <row r="6" spans="2:7" ht="30" x14ac:dyDescent="0.25">
      <c r="B6" s="50">
        <v>1</v>
      </c>
      <c r="C6" s="35" t="s">
        <v>92</v>
      </c>
      <c r="D6" s="50">
        <v>3525.6</v>
      </c>
      <c r="E6" s="50">
        <v>228379.45</v>
      </c>
      <c r="F6" s="50">
        <v>710.83</v>
      </c>
      <c r="G6" s="50">
        <v>0.05</v>
      </c>
    </row>
    <row r="7" spans="2:7" x14ac:dyDescent="0.25">
      <c r="B7" s="50">
        <v>2</v>
      </c>
      <c r="C7" s="35" t="s">
        <v>93</v>
      </c>
      <c r="D7" s="50">
        <v>1338.1</v>
      </c>
      <c r="E7" s="50">
        <v>47567.78</v>
      </c>
      <c r="F7" s="50">
        <v>4525.96</v>
      </c>
      <c r="G7" s="50">
        <v>1.9</v>
      </c>
    </row>
    <row r="8" spans="2:7" ht="30" x14ac:dyDescent="0.25">
      <c r="B8" s="50">
        <v>3</v>
      </c>
      <c r="C8" s="35" t="s">
        <v>94</v>
      </c>
      <c r="D8" s="50">
        <v>1168.9000000000001</v>
      </c>
      <c r="E8" s="50">
        <v>28378.34</v>
      </c>
      <c r="F8" s="50">
        <v>248.92</v>
      </c>
      <c r="G8" s="50">
        <v>0.22</v>
      </c>
    </row>
    <row r="9" spans="2:7" ht="30" x14ac:dyDescent="0.25">
      <c r="B9" s="50">
        <v>4</v>
      </c>
      <c r="C9" s="35" t="s">
        <v>95</v>
      </c>
      <c r="D9" s="50">
        <v>246.6</v>
      </c>
      <c r="E9" s="50">
        <v>23395.42</v>
      </c>
      <c r="F9" s="50">
        <v>4617.57</v>
      </c>
      <c r="G9" s="50">
        <v>1.28</v>
      </c>
    </row>
    <row r="10" spans="2:7" ht="30" x14ac:dyDescent="0.25">
      <c r="B10" s="50">
        <v>5</v>
      </c>
      <c r="C10" s="35" t="s">
        <v>96</v>
      </c>
      <c r="D10" s="50">
        <v>849.25</v>
      </c>
      <c r="E10" s="50">
        <v>23076.59</v>
      </c>
      <c r="F10" s="50">
        <v>805.48</v>
      </c>
      <c r="G10" s="50">
        <v>0.56000000000000005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38687-D866-4598-85C5-C5336D21FE2B}">
  <dimension ref="B6:G34"/>
  <sheetViews>
    <sheetView showGridLines="0" workbookViewId="0">
      <selection activeCell="E11" sqref="E11"/>
    </sheetView>
  </sheetViews>
  <sheetFormatPr defaultRowHeight="15" x14ac:dyDescent="0.25"/>
  <cols>
    <col min="1" max="1" width="1.85546875" customWidth="1"/>
    <col min="5" max="5" width="14.85546875" bestFit="1" customWidth="1"/>
  </cols>
  <sheetData>
    <row r="6" spans="2:7" x14ac:dyDescent="0.25">
      <c r="B6" s="54" t="s">
        <v>99</v>
      </c>
      <c r="C6" s="54"/>
      <c r="D6" s="54"/>
      <c r="E6" s="55"/>
      <c r="F6" s="55"/>
      <c r="G6" s="55"/>
    </row>
    <row r="8" spans="2:7" x14ac:dyDescent="0.25">
      <c r="B8" s="42" t="s">
        <v>97</v>
      </c>
      <c r="C8" s="9" t="s">
        <v>98</v>
      </c>
    </row>
    <row r="9" spans="2:7" x14ac:dyDescent="0.25">
      <c r="B9" s="42">
        <v>2000</v>
      </c>
      <c r="C9" s="9">
        <v>-0.14649999999999999</v>
      </c>
      <c r="E9" t="s">
        <v>100</v>
      </c>
      <c r="F9" s="7">
        <f>AVERAGE(C9:C34)</f>
        <v>0.1514923076923077</v>
      </c>
    </row>
    <row r="10" spans="2:7" ht="17.25" x14ac:dyDescent="0.25">
      <c r="B10" s="42">
        <v>2001</v>
      </c>
      <c r="C10" s="9">
        <v>-0.1618</v>
      </c>
      <c r="E10" t="s">
        <v>101</v>
      </c>
      <c r="F10" s="7" t="s">
        <v>102</v>
      </c>
    </row>
    <row r="11" spans="2:7" x14ac:dyDescent="0.25">
      <c r="B11" s="42">
        <v>2002</v>
      </c>
      <c r="C11" s="9">
        <v>3.2500000000000001E-2</v>
      </c>
      <c r="E11" t="s">
        <v>103</v>
      </c>
      <c r="F11" s="7">
        <f>SUM(F9:F10)</f>
        <v>0.1514923076923077</v>
      </c>
    </row>
    <row r="12" spans="2:7" x14ac:dyDescent="0.25">
      <c r="B12" s="42">
        <v>2003</v>
      </c>
      <c r="C12" s="9">
        <v>0.71900000000000008</v>
      </c>
    </row>
    <row r="13" spans="2:7" x14ac:dyDescent="0.25">
      <c r="B13" s="42">
        <v>2004</v>
      </c>
      <c r="C13" s="9">
        <v>0.10679999999999999</v>
      </c>
    </row>
    <row r="14" spans="2:7" x14ac:dyDescent="0.25">
      <c r="B14" s="42">
        <v>2005</v>
      </c>
      <c r="C14" s="9">
        <v>0.36340000000000006</v>
      </c>
    </row>
    <row r="15" spans="2:7" x14ac:dyDescent="0.25">
      <c r="B15" s="42">
        <v>2006</v>
      </c>
      <c r="C15" s="9">
        <v>0.39829999999999999</v>
      </c>
    </row>
    <row r="16" spans="2:7" x14ac:dyDescent="0.25">
      <c r="B16" s="42">
        <v>2007</v>
      </c>
      <c r="C16" s="9">
        <v>0.54770000000000008</v>
      </c>
    </row>
    <row r="17" spans="2:3" x14ac:dyDescent="0.25">
      <c r="B17" s="42">
        <v>2008</v>
      </c>
      <c r="C17" s="9">
        <v>-0.51790000000000003</v>
      </c>
    </row>
    <row r="18" spans="2:3" x14ac:dyDescent="0.25">
      <c r="B18" s="42">
        <v>2009</v>
      </c>
      <c r="C18" s="9">
        <v>0.75760000000000005</v>
      </c>
    </row>
    <row r="19" spans="2:3" x14ac:dyDescent="0.25">
      <c r="B19" s="42">
        <v>2010</v>
      </c>
      <c r="C19" s="9">
        <v>0.17949999999999999</v>
      </c>
    </row>
    <row r="20" spans="2:3" x14ac:dyDescent="0.25">
      <c r="B20" s="42">
        <v>2011</v>
      </c>
      <c r="C20" s="9">
        <v>-0.2462</v>
      </c>
    </row>
    <row r="21" spans="2:3" x14ac:dyDescent="0.25">
      <c r="B21" s="42">
        <v>2012</v>
      </c>
      <c r="C21" s="9">
        <v>0.27699999999999997</v>
      </c>
    </row>
    <row r="22" spans="2:3" x14ac:dyDescent="0.25">
      <c r="B22" s="42">
        <v>2013</v>
      </c>
      <c r="C22" s="9">
        <v>6.7599999999999993E-2</v>
      </c>
    </row>
    <row r="23" spans="2:3" x14ac:dyDescent="0.25">
      <c r="B23" s="42">
        <v>2014</v>
      </c>
      <c r="C23" s="9">
        <v>0.31390000000000001</v>
      </c>
    </row>
    <row r="24" spans="2:3" x14ac:dyDescent="0.25">
      <c r="B24" s="42">
        <v>2015</v>
      </c>
      <c r="C24" s="9">
        <v>-4.0599999999999997E-2</v>
      </c>
    </row>
    <row r="25" spans="2:3" x14ac:dyDescent="0.25">
      <c r="B25" s="42">
        <v>2016</v>
      </c>
      <c r="C25" s="9">
        <v>3.0099999999999998E-2</v>
      </c>
    </row>
    <row r="26" spans="2:3" x14ac:dyDescent="0.25">
      <c r="B26" s="42">
        <v>2017</v>
      </c>
      <c r="C26" s="9">
        <v>0.28649999999999998</v>
      </c>
    </row>
    <row r="27" spans="2:3" x14ac:dyDescent="0.25">
      <c r="B27" s="42">
        <v>2018</v>
      </c>
      <c r="C27" s="9">
        <v>3.15E-2</v>
      </c>
    </row>
    <row r="28" spans="2:3" x14ac:dyDescent="0.25">
      <c r="B28" s="42">
        <v>2019</v>
      </c>
      <c r="C28" s="9">
        <v>0.1202</v>
      </c>
    </row>
    <row r="29" spans="2:3" x14ac:dyDescent="0.25">
      <c r="B29" s="42">
        <v>2020</v>
      </c>
      <c r="C29" s="9">
        <v>0.14899999999999999</v>
      </c>
    </row>
    <row r="30" spans="2:3" x14ac:dyDescent="0.25">
      <c r="B30" s="42">
        <v>2021</v>
      </c>
      <c r="C30" s="9">
        <v>0.2412</v>
      </c>
    </row>
    <row r="31" spans="2:3" x14ac:dyDescent="0.25">
      <c r="B31" s="42">
        <v>2022</v>
      </c>
      <c r="C31" s="9">
        <v>4.3200000000000002E-2</v>
      </c>
    </row>
    <row r="32" spans="2:3" x14ac:dyDescent="0.25">
      <c r="B32" s="42">
        <v>2023</v>
      </c>
      <c r="C32" s="9">
        <v>0.19420000000000001</v>
      </c>
    </row>
    <row r="33" spans="2:3" x14ac:dyDescent="0.25">
      <c r="B33" s="42">
        <v>2024</v>
      </c>
      <c r="C33" s="9">
        <v>8.7499999999999994E-2</v>
      </c>
    </row>
    <row r="34" spans="2:3" x14ac:dyDescent="0.25">
      <c r="B34" s="42">
        <v>2025</v>
      </c>
      <c r="C34" s="9">
        <v>0.1051</v>
      </c>
    </row>
  </sheetData>
  <mergeCells count="2">
    <mergeCell ref="B6:D6"/>
    <mergeCell ref="E6:G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AD219-107E-4563-AB65-E9E7CA6B69F6}">
  <dimension ref="A6:K67"/>
  <sheetViews>
    <sheetView showGridLines="0" tabSelected="1" topLeftCell="A44" workbookViewId="0">
      <selection activeCell="K68" sqref="K68"/>
    </sheetView>
  </sheetViews>
  <sheetFormatPr defaultRowHeight="15" x14ac:dyDescent="0.25"/>
  <cols>
    <col min="1" max="1" width="1.85546875" customWidth="1"/>
    <col min="7" max="7" width="9.5703125" bestFit="1" customWidth="1"/>
    <col min="8" max="8" width="9.28515625" customWidth="1"/>
    <col min="9" max="9" width="10.42578125" bestFit="1" customWidth="1"/>
    <col min="10" max="10" width="14.140625" bestFit="1" customWidth="1"/>
    <col min="11" max="11" width="9.85546875" bestFit="1" customWidth="1"/>
  </cols>
  <sheetData>
    <row r="6" spans="1:11" x14ac:dyDescent="0.25">
      <c r="B6" s="98" t="s">
        <v>217</v>
      </c>
      <c r="C6" s="98"/>
      <c r="D6" s="98"/>
      <c r="E6" s="98"/>
      <c r="F6" s="98"/>
      <c r="G6" s="72">
        <f>'Raw FS'!J2</f>
        <v>43160</v>
      </c>
      <c r="H6" s="72">
        <f>'Raw FS'!K2</f>
        <v>43525</v>
      </c>
      <c r="I6" s="72">
        <f>'Raw FS'!L2</f>
        <v>43891</v>
      </c>
      <c r="J6" s="72">
        <f>'Raw FS'!M2</f>
        <v>44256</v>
      </c>
      <c r="K6" s="72">
        <f>'Raw FS'!N2</f>
        <v>44621</v>
      </c>
    </row>
    <row r="8" spans="1:11" x14ac:dyDescent="0.25">
      <c r="B8" s="82" t="s">
        <v>218</v>
      </c>
    </row>
    <row r="9" spans="1:11" x14ac:dyDescent="0.25">
      <c r="B9" s="90" t="str">
        <f>'Raw FS'!B35</f>
        <v>Inventories</v>
      </c>
      <c r="C9" s="90"/>
      <c r="D9" s="90"/>
      <c r="E9" s="90"/>
      <c r="F9" s="90"/>
      <c r="G9" s="105">
        <f>'Raw FS'!J35</f>
        <v>2658</v>
      </c>
      <c r="H9" s="105">
        <f>'Raw FS'!K35</f>
        <v>3150</v>
      </c>
      <c r="I9" s="105">
        <f>'Raw FS'!L35</f>
        <v>3390</v>
      </c>
      <c r="J9" s="105">
        <f>'Raw FS'!M35</f>
        <v>3799</v>
      </c>
      <c r="K9" s="105">
        <f>'Raw FS'!N35</f>
        <v>6153</v>
      </c>
    </row>
    <row r="10" spans="1:11" x14ac:dyDescent="0.25">
      <c r="B10" s="90" t="str">
        <f>'Raw FS'!B36</f>
        <v>Trade receivables</v>
      </c>
      <c r="C10" s="90"/>
      <c r="D10" s="90"/>
      <c r="E10" s="90"/>
      <c r="F10" s="90"/>
      <c r="G10" s="105">
        <f>'Raw FS'!J36</f>
        <v>1731</v>
      </c>
      <c r="H10" s="105">
        <f>'Raw FS'!K36</f>
        <v>1907</v>
      </c>
      <c r="I10" s="105">
        <f>'Raw FS'!L36</f>
        <v>1795</v>
      </c>
      <c r="J10" s="105">
        <f>'Raw FS'!M36</f>
        <v>2602</v>
      </c>
      <c r="K10" s="105">
        <f>'Raw FS'!N36</f>
        <v>3871</v>
      </c>
    </row>
    <row r="11" spans="1:11" x14ac:dyDescent="0.25">
      <c r="B11" s="90" t="str">
        <f>'Raw FS'!B38</f>
        <v>Loans n Advances</v>
      </c>
      <c r="C11" s="90"/>
      <c r="D11" s="90"/>
      <c r="E11" s="90"/>
      <c r="F11" s="90"/>
      <c r="G11" s="105">
        <f>'Raw FS'!J38</f>
        <v>1141</v>
      </c>
      <c r="H11" s="105">
        <f>'Raw FS'!K38</f>
        <v>1058</v>
      </c>
      <c r="I11" s="105">
        <f>'Raw FS'!L38</f>
        <v>1177</v>
      </c>
      <c r="J11" s="105">
        <f>'Raw FS'!M38</f>
        <v>1846</v>
      </c>
      <c r="K11" s="105">
        <f>'Raw FS'!N38</f>
        <v>2216</v>
      </c>
    </row>
    <row r="12" spans="1:11" x14ac:dyDescent="0.25">
      <c r="B12" s="58" t="str">
        <f>'Raw FS'!B39</f>
        <v>Other asset items</v>
      </c>
      <c r="G12" s="106">
        <f>'Raw FS'!J39</f>
        <v>551</v>
      </c>
      <c r="H12" s="106">
        <f>'Raw FS'!K39</f>
        <v>414</v>
      </c>
      <c r="I12" s="106">
        <f>'Raw FS'!L39</f>
        <v>561</v>
      </c>
      <c r="J12" s="106">
        <f>'Raw FS'!M39</f>
        <v>720</v>
      </c>
      <c r="K12" s="106">
        <f>'Raw FS'!N39</f>
        <v>661</v>
      </c>
    </row>
    <row r="13" spans="1:11" s="82" customFormat="1" x14ac:dyDescent="0.25">
      <c r="A13"/>
      <c r="B13" s="89" t="s">
        <v>219</v>
      </c>
      <c r="C13" s="89"/>
      <c r="D13" s="89"/>
      <c r="E13" s="89"/>
      <c r="F13" s="89"/>
      <c r="G13" s="107">
        <f>SUM(G9:G12)</f>
        <v>6081</v>
      </c>
      <c r="H13" s="107">
        <f t="shared" ref="H13:K13" si="0">SUM(H9:H12)</f>
        <v>6529</v>
      </c>
      <c r="I13" s="107">
        <f t="shared" si="0"/>
        <v>6923</v>
      </c>
      <c r="J13" s="107">
        <f t="shared" si="0"/>
        <v>8967</v>
      </c>
      <c r="K13" s="107">
        <f t="shared" si="0"/>
        <v>12901</v>
      </c>
    </row>
    <row r="14" spans="1:11" x14ac:dyDescent="0.25">
      <c r="G14" s="106"/>
      <c r="H14" s="106"/>
      <c r="I14" s="106"/>
      <c r="J14" s="106"/>
      <c r="K14" s="106"/>
    </row>
    <row r="15" spans="1:11" x14ac:dyDescent="0.25">
      <c r="B15" s="82" t="s">
        <v>220</v>
      </c>
      <c r="C15" s="58"/>
      <c r="D15" s="58"/>
      <c r="E15" s="58"/>
      <c r="F15" s="58"/>
      <c r="G15" s="106"/>
      <c r="H15" s="106"/>
      <c r="I15" s="106"/>
      <c r="J15" s="106"/>
      <c r="K15" s="106"/>
    </row>
    <row r="16" spans="1:11" x14ac:dyDescent="0.25">
      <c r="B16" s="90" t="str">
        <f>'Raw FS'!B13</f>
        <v>Trade Payables</v>
      </c>
      <c r="C16" s="90"/>
      <c r="D16" s="90"/>
      <c r="E16" s="90"/>
      <c r="F16" s="90"/>
      <c r="G16" s="105">
        <f>'Raw FS'!J13</f>
        <v>2160</v>
      </c>
      <c r="H16" s="105">
        <f>'Raw FS'!K13</f>
        <v>2394</v>
      </c>
      <c r="I16" s="105">
        <f>'Raw FS'!L13</f>
        <v>2137</v>
      </c>
      <c r="J16" s="105">
        <f>'Raw FS'!M13</f>
        <v>3379</v>
      </c>
      <c r="K16" s="105">
        <f>'Raw FS'!N13</f>
        <v>4164</v>
      </c>
    </row>
    <row r="17" spans="1:11" x14ac:dyDescent="0.25">
      <c r="B17" s="90" t="str">
        <f>'Raw FS'!B14</f>
        <v>Advance from Customers</v>
      </c>
      <c r="C17" s="90"/>
      <c r="D17" s="90"/>
      <c r="E17" s="90"/>
      <c r="F17" s="90"/>
      <c r="G17" s="105">
        <f>'Raw FS'!J14</f>
        <v>16</v>
      </c>
      <c r="H17" s="105">
        <f>'Raw FS'!K14</f>
        <v>13</v>
      </c>
      <c r="I17" s="105">
        <f>'Raw FS'!L14</f>
        <v>29</v>
      </c>
      <c r="J17" s="105">
        <f>'Raw FS'!M14</f>
        <v>41</v>
      </c>
      <c r="K17" s="105">
        <f>'Raw FS'!N14</f>
        <v>76</v>
      </c>
    </row>
    <row r="18" spans="1:11" x14ac:dyDescent="0.25">
      <c r="B18" s="90" t="str">
        <f>'Raw FS'!B15</f>
        <v>Other liability items</v>
      </c>
      <c r="C18" s="90"/>
      <c r="D18" s="90"/>
      <c r="E18" s="90"/>
      <c r="F18" s="90"/>
      <c r="G18" s="105">
        <f>'Raw FS'!J15</f>
        <v>2316</v>
      </c>
      <c r="H18" s="105">
        <f>'Raw FS'!K15</f>
        <v>2690</v>
      </c>
      <c r="I18" s="105">
        <f>'Raw FS'!L15</f>
        <v>2320</v>
      </c>
      <c r="J18" s="105">
        <f>'Raw FS'!M15</f>
        <v>2613</v>
      </c>
      <c r="K18" s="105">
        <f>'Raw FS'!N15</f>
        <v>2932</v>
      </c>
    </row>
    <row r="19" spans="1:11" x14ac:dyDescent="0.25">
      <c r="B19" s="89" t="s">
        <v>221</v>
      </c>
      <c r="C19" s="89"/>
      <c r="D19" s="89"/>
      <c r="E19" s="89"/>
      <c r="F19" s="89"/>
      <c r="G19" s="107">
        <f>SUM(G16:G18)</f>
        <v>4492</v>
      </c>
      <c r="H19" s="107">
        <f>SUM(H16:H18)</f>
        <v>5097</v>
      </c>
      <c r="I19" s="107">
        <f>SUM(I16:I18)</f>
        <v>4486</v>
      </c>
      <c r="J19" s="107">
        <f>SUM(J16:J18)</f>
        <v>6033</v>
      </c>
      <c r="K19" s="107">
        <f>SUM(K16:K18)</f>
        <v>7172</v>
      </c>
    </row>
    <row r="20" spans="1:11" x14ac:dyDescent="0.25">
      <c r="G20" s="106"/>
      <c r="H20" s="106"/>
      <c r="I20" s="106"/>
      <c r="J20" s="106"/>
      <c r="K20" s="106"/>
    </row>
    <row r="21" spans="1:11" ht="15.75" thickBot="1" x14ac:dyDescent="0.3">
      <c r="A21" t="s">
        <v>223</v>
      </c>
      <c r="B21" s="99" t="s">
        <v>222</v>
      </c>
      <c r="C21" s="99"/>
      <c r="D21" s="99"/>
      <c r="E21" s="99"/>
      <c r="F21" s="99"/>
      <c r="G21" s="108">
        <f>G13-G19</f>
        <v>1589</v>
      </c>
      <c r="H21" s="108">
        <f t="shared" ref="H21:K21" si="1">H13-H19</f>
        <v>1432</v>
      </c>
      <c r="I21" s="108">
        <f t="shared" si="1"/>
        <v>2437</v>
      </c>
      <c r="J21" s="108">
        <f t="shared" si="1"/>
        <v>2934</v>
      </c>
      <c r="K21" s="108">
        <f t="shared" si="1"/>
        <v>5729</v>
      </c>
    </row>
    <row r="22" spans="1:11" x14ac:dyDescent="0.25">
      <c r="G22" s="106"/>
      <c r="H22" s="106"/>
      <c r="I22" s="106"/>
      <c r="J22" s="106"/>
      <c r="K22" s="106"/>
    </row>
    <row r="23" spans="1:11" x14ac:dyDescent="0.25">
      <c r="B23" s="82" t="s">
        <v>224</v>
      </c>
      <c r="C23" s="58"/>
      <c r="D23" s="58"/>
      <c r="E23" s="58"/>
      <c r="F23" s="58"/>
      <c r="G23" s="106"/>
      <c r="H23" s="106"/>
      <c r="I23" s="106"/>
      <c r="J23" s="106"/>
      <c r="K23" s="106"/>
    </row>
    <row r="24" spans="1:11" x14ac:dyDescent="0.25">
      <c r="B24" s="90" t="str">
        <f>'Raw FS'!B19</f>
        <v>Land</v>
      </c>
      <c r="C24" s="90"/>
      <c r="D24" s="90"/>
      <c r="E24" s="90"/>
      <c r="F24" s="90"/>
      <c r="G24" s="105">
        <f>'Raw FS'!J19</f>
        <v>586</v>
      </c>
      <c r="H24" s="105">
        <f>'Raw FS'!K19</f>
        <v>605</v>
      </c>
      <c r="I24" s="105">
        <f>'Raw FS'!L19</f>
        <v>640</v>
      </c>
      <c r="J24" s="105">
        <f>'Raw FS'!M19</f>
        <v>644</v>
      </c>
      <c r="K24" s="105">
        <f>'Raw FS'!N19</f>
        <v>644</v>
      </c>
    </row>
    <row r="25" spans="1:11" s="58" customFormat="1" x14ac:dyDescent="0.25">
      <c r="B25" s="90" t="str">
        <f>'Raw FS'!B20</f>
        <v>Building</v>
      </c>
      <c r="C25" s="90"/>
      <c r="D25" s="90"/>
      <c r="E25" s="90"/>
      <c r="F25" s="90"/>
      <c r="G25" s="105">
        <f>'Raw FS'!J20</f>
        <v>957</v>
      </c>
      <c r="H25" s="105">
        <f>'Raw FS'!K20</f>
        <v>2402</v>
      </c>
      <c r="I25" s="105">
        <f>'Raw FS'!L20</f>
        <v>2257</v>
      </c>
      <c r="J25" s="105">
        <f>'Raw FS'!M20</f>
        <v>2249</v>
      </c>
      <c r="K25" s="105">
        <f>'Raw FS'!N20</f>
        <v>2325</v>
      </c>
    </row>
    <row r="26" spans="1:11" s="58" customFormat="1" x14ac:dyDescent="0.25">
      <c r="B26" s="90" t="str">
        <f>'Raw FS'!B21</f>
        <v>Plant Machinery</v>
      </c>
      <c r="C26" s="90"/>
      <c r="D26" s="90"/>
      <c r="E26" s="90"/>
      <c r="F26" s="90"/>
      <c r="G26" s="105">
        <f>'Raw FS'!J21</f>
        <v>2157</v>
      </c>
      <c r="H26" s="105">
        <f>'Raw FS'!K21</f>
        <v>4006</v>
      </c>
      <c r="I26" s="105">
        <f>'Raw FS'!L21</f>
        <v>4208</v>
      </c>
      <c r="J26" s="105">
        <f>'Raw FS'!M21</f>
        <v>4340</v>
      </c>
      <c r="K26" s="105">
        <f>'Raw FS'!N21</f>
        <v>4531</v>
      </c>
    </row>
    <row r="27" spans="1:11" s="58" customFormat="1" x14ac:dyDescent="0.25">
      <c r="B27" s="90" t="str">
        <f>'Raw FS'!B22</f>
        <v>Equipments</v>
      </c>
      <c r="C27" s="90"/>
      <c r="D27" s="90"/>
      <c r="E27" s="90"/>
      <c r="F27" s="90"/>
      <c r="G27" s="105">
        <f>'Raw FS'!J22</f>
        <v>200</v>
      </c>
      <c r="H27" s="105">
        <f>'Raw FS'!K22</f>
        <v>221</v>
      </c>
      <c r="I27" s="105">
        <f>'Raw FS'!L22</f>
        <v>241</v>
      </c>
      <c r="J27" s="105">
        <f>'Raw FS'!M22</f>
        <v>243</v>
      </c>
      <c r="K27" s="105">
        <f>'Raw FS'!N22</f>
        <v>253</v>
      </c>
    </row>
    <row r="28" spans="1:11" s="58" customFormat="1" x14ac:dyDescent="0.25">
      <c r="B28" s="90" t="str">
        <f>'Raw FS'!B23</f>
        <v>Furniture n fittings</v>
      </c>
      <c r="C28" s="90"/>
      <c r="D28" s="90"/>
      <c r="E28" s="90"/>
      <c r="F28" s="90"/>
      <c r="G28" s="105">
        <f>'Raw FS'!J23</f>
        <v>72</v>
      </c>
      <c r="H28" s="105">
        <f>'Raw FS'!K23</f>
        <v>88</v>
      </c>
      <c r="I28" s="105">
        <f>'Raw FS'!L23</f>
        <v>94</v>
      </c>
      <c r="J28" s="105">
        <f>'Raw FS'!M23</f>
        <v>99</v>
      </c>
      <c r="K28" s="105">
        <f>'Raw FS'!N23</f>
        <v>113</v>
      </c>
    </row>
    <row r="29" spans="1:11" s="58" customFormat="1" x14ac:dyDescent="0.25">
      <c r="B29" s="90" t="str">
        <f>'Raw FS'!B24</f>
        <v>Vehicles</v>
      </c>
      <c r="C29" s="90"/>
      <c r="D29" s="90"/>
      <c r="E29" s="90"/>
      <c r="F29" s="90"/>
      <c r="G29" s="105">
        <f>'Raw FS'!J24</f>
        <v>27</v>
      </c>
      <c r="H29" s="105">
        <f>'Raw FS'!K24</f>
        <v>47</v>
      </c>
      <c r="I29" s="105">
        <f>'Raw FS'!L24</f>
        <v>43</v>
      </c>
      <c r="J29" s="105">
        <f>'Raw FS'!M24</f>
        <v>38</v>
      </c>
      <c r="K29" s="105">
        <f>'Raw FS'!N24</f>
        <v>32</v>
      </c>
    </row>
    <row r="30" spans="1:11" s="58" customFormat="1" x14ac:dyDescent="0.25">
      <c r="B30" s="90" t="str">
        <f>'Raw FS'!B25</f>
        <v>Intangible Assets</v>
      </c>
      <c r="C30" s="90"/>
      <c r="D30" s="90"/>
      <c r="E30" s="90"/>
      <c r="F30" s="90"/>
      <c r="G30" s="105">
        <f>'Raw FS'!J25</f>
        <v>468</v>
      </c>
      <c r="H30" s="105">
        <f>'Raw FS'!K25</f>
        <v>512</v>
      </c>
      <c r="I30" s="105">
        <f>'Raw FS'!L25</f>
        <v>505</v>
      </c>
      <c r="J30" s="105">
        <f>'Raw FS'!M25</f>
        <v>476</v>
      </c>
      <c r="K30" s="105">
        <f>'Raw FS'!N25</f>
        <v>411</v>
      </c>
    </row>
    <row r="31" spans="1:11" s="58" customFormat="1" x14ac:dyDescent="0.25">
      <c r="B31" s="90" t="str">
        <f>'Raw FS'!B26</f>
        <v>Other fixed assets</v>
      </c>
      <c r="C31" s="90"/>
      <c r="D31" s="90"/>
      <c r="E31" s="90"/>
      <c r="F31" s="90"/>
      <c r="G31" s="105">
        <f>'Raw FS'!J26</f>
        <v>238</v>
      </c>
      <c r="H31" s="105">
        <f>'Raw FS'!K26</f>
        <v>261</v>
      </c>
      <c r="I31" s="105">
        <f>'Raw FS'!L26</f>
        <v>293</v>
      </c>
      <c r="J31" s="105">
        <f>'Raw FS'!M26</f>
        <v>302</v>
      </c>
      <c r="K31" s="105">
        <f>'Raw FS'!N26</f>
        <v>294</v>
      </c>
    </row>
    <row r="32" spans="1:11" s="58" customFormat="1" ht="5.25" customHeight="1" x14ac:dyDescent="0.25">
      <c r="B32" s="100"/>
      <c r="C32" s="100"/>
      <c r="D32" s="100"/>
      <c r="E32" s="100"/>
      <c r="F32" s="100"/>
      <c r="G32" s="109"/>
      <c r="H32" s="109"/>
      <c r="I32" s="109"/>
      <c r="J32" s="109"/>
      <c r="K32" s="109"/>
    </row>
    <row r="33" spans="1:11" x14ac:dyDescent="0.25">
      <c r="B33" s="89" t="s">
        <v>183</v>
      </c>
      <c r="C33" s="89"/>
      <c r="D33" s="89"/>
      <c r="E33" s="89"/>
      <c r="F33" s="89"/>
      <c r="G33" s="107">
        <f>SUM(G24:G31)</f>
        <v>4705</v>
      </c>
      <c r="H33" s="107">
        <f>SUM(H24:H31)</f>
        <v>8142</v>
      </c>
      <c r="I33" s="107">
        <f>SUM(I24:I31)</f>
        <v>8281</v>
      </c>
      <c r="J33" s="107">
        <f>SUM(J24:J31)</f>
        <v>8391</v>
      </c>
      <c r="K33" s="107">
        <f>SUM(K24:K31)</f>
        <v>8603</v>
      </c>
    </row>
    <row r="34" spans="1:11" x14ac:dyDescent="0.25">
      <c r="B34" t="s">
        <v>184</v>
      </c>
      <c r="G34" s="106">
        <f>-'Raw FS'!J28</f>
        <v>-973</v>
      </c>
      <c r="H34" s="106">
        <f>-'Raw FS'!K28</f>
        <v>-1592</v>
      </c>
      <c r="I34" s="106">
        <f>-'Raw FS'!L28</f>
        <v>-2010</v>
      </c>
      <c r="J34" s="106">
        <f>-'Raw FS'!M28</f>
        <v>-2533</v>
      </c>
      <c r="K34" s="106">
        <f>-'Raw FS'!N28</f>
        <v>-3085</v>
      </c>
    </row>
    <row r="35" spans="1:11" ht="15.75" thickBot="1" x14ac:dyDescent="0.3">
      <c r="A35" t="s">
        <v>223</v>
      </c>
      <c r="B35" s="99" t="s">
        <v>225</v>
      </c>
      <c r="C35" s="99"/>
      <c r="D35" s="99"/>
      <c r="E35" s="99"/>
      <c r="F35" s="99"/>
      <c r="G35" s="108">
        <f>G33+G34</f>
        <v>3732</v>
      </c>
      <c r="H35" s="108">
        <f t="shared" ref="H35:K35" si="2">H33+H34</f>
        <v>6550</v>
      </c>
      <c r="I35" s="108">
        <f t="shared" si="2"/>
        <v>6271</v>
      </c>
      <c r="J35" s="108">
        <f t="shared" si="2"/>
        <v>5858</v>
      </c>
      <c r="K35" s="108">
        <f t="shared" si="2"/>
        <v>5518</v>
      </c>
    </row>
    <row r="36" spans="1:11" x14ac:dyDescent="0.25">
      <c r="G36" s="106"/>
      <c r="H36" s="106"/>
      <c r="I36" s="106"/>
      <c r="J36" s="106"/>
      <c r="K36" s="106"/>
    </row>
    <row r="37" spans="1:11" x14ac:dyDescent="0.25">
      <c r="A37" t="s">
        <v>223</v>
      </c>
      <c r="B37" s="101" t="s">
        <v>226</v>
      </c>
      <c r="C37" s="82"/>
      <c r="D37" s="82"/>
      <c r="E37" s="82"/>
      <c r="F37" s="82"/>
      <c r="G37" s="110">
        <f>G35+G21</f>
        <v>5321</v>
      </c>
      <c r="H37" s="110">
        <f t="shared" ref="H37:K37" si="3">H35+H21</f>
        <v>7982</v>
      </c>
      <c r="I37" s="110">
        <f t="shared" si="3"/>
        <v>8708</v>
      </c>
      <c r="J37" s="110">
        <f t="shared" si="3"/>
        <v>8792</v>
      </c>
      <c r="K37" s="110">
        <f t="shared" si="3"/>
        <v>11247</v>
      </c>
    </row>
    <row r="38" spans="1:11" x14ac:dyDescent="0.25">
      <c r="B38" s="82" t="s">
        <v>227</v>
      </c>
      <c r="C38" s="82"/>
      <c r="D38" s="82"/>
      <c r="E38" s="82"/>
      <c r="F38" s="82"/>
      <c r="G38" s="110">
        <f>HistoricalFS!H27+HistoricalFS!H21</f>
        <v>9904.0899999999929</v>
      </c>
      <c r="H38" s="110">
        <f>HistoricalFS!I27+HistoricalFS!I21</f>
        <v>1073.7000000000207</v>
      </c>
      <c r="I38" s="110">
        <f>HistoricalFS!J27+HistoricalFS!J21</f>
        <v>-3438.3600000000388</v>
      </c>
      <c r="J38" s="110">
        <f>HistoricalFS!K27+HistoricalFS!K21</f>
        <v>8740.7199999999921</v>
      </c>
      <c r="K38" s="110">
        <f>HistoricalFS!L27+HistoricalFS!L21</f>
        <v>-115.59999999998763</v>
      </c>
    </row>
    <row r="39" spans="1:11" x14ac:dyDescent="0.25">
      <c r="G39" s="104"/>
      <c r="H39" s="104"/>
      <c r="I39" s="104"/>
      <c r="J39" s="104"/>
      <c r="K39" s="104"/>
    </row>
    <row r="40" spans="1:11" x14ac:dyDescent="0.25">
      <c r="A40" t="s">
        <v>223</v>
      </c>
      <c r="B40" s="89" t="s">
        <v>259</v>
      </c>
      <c r="C40" s="89"/>
      <c r="D40" s="89"/>
      <c r="E40" s="89"/>
      <c r="F40" s="89"/>
      <c r="G40" s="102">
        <f>G38/G37</f>
        <v>1.8613211802292788</v>
      </c>
      <c r="H40" s="102">
        <f t="shared" ref="H40:K40" si="4">H38/H37</f>
        <v>0.13451515910799558</v>
      </c>
      <c r="I40" s="102">
        <f t="shared" si="4"/>
        <v>-0.39485071198898009</v>
      </c>
      <c r="J40" s="102">
        <f t="shared" si="4"/>
        <v>0.99416742493175525</v>
      </c>
      <c r="K40" s="102">
        <f t="shared" si="4"/>
        <v>-1.0278296434603684E-2</v>
      </c>
    </row>
    <row r="43" spans="1:11" x14ac:dyDescent="0.25">
      <c r="B43" s="98" t="s">
        <v>260</v>
      </c>
      <c r="C43" s="98"/>
      <c r="D43" s="98"/>
      <c r="E43" s="98"/>
      <c r="F43" s="98"/>
      <c r="G43" s="72">
        <f>G6</f>
        <v>43160</v>
      </c>
      <c r="H43" s="72">
        <f t="shared" ref="H43:K43" si="5">H6</f>
        <v>43525</v>
      </c>
      <c r="I43" s="72">
        <f t="shared" si="5"/>
        <v>43891</v>
      </c>
      <c r="J43" s="72">
        <f t="shared" si="5"/>
        <v>44256</v>
      </c>
      <c r="K43" s="72">
        <f t="shared" si="5"/>
        <v>44621</v>
      </c>
    </row>
    <row r="45" spans="1:11" x14ac:dyDescent="0.25">
      <c r="B45" s="90" t="s">
        <v>261</v>
      </c>
      <c r="C45" s="90"/>
      <c r="D45" s="90"/>
      <c r="E45" s="90"/>
      <c r="F45" s="90"/>
      <c r="G45" s="105">
        <f>-SUM('Raw FS'!J54:J55)</f>
        <v>1409</v>
      </c>
      <c r="H45" s="105">
        <f>-SUM('Raw FS'!K54:K55)</f>
        <v>1134</v>
      </c>
      <c r="I45" s="105">
        <f>-SUM('Raw FS'!L54:L55)</f>
        <v>367</v>
      </c>
      <c r="J45" s="105">
        <f>-SUM('Raw FS'!M54:M55)</f>
        <v>254</v>
      </c>
      <c r="K45" s="105">
        <f>-SUM('Raw FS'!N54:N55)</f>
        <v>498</v>
      </c>
    </row>
    <row r="46" spans="1:11" x14ac:dyDescent="0.25">
      <c r="B46" s="90" t="s">
        <v>262</v>
      </c>
      <c r="C46" s="90"/>
      <c r="D46" s="90"/>
      <c r="E46" s="90"/>
      <c r="F46" s="90"/>
      <c r="G46" s="105"/>
      <c r="H46" s="105">
        <f>H21-G21</f>
        <v>-157</v>
      </c>
      <c r="I46" s="105">
        <f t="shared" ref="I46:K46" si="6">I21-H21</f>
        <v>1005</v>
      </c>
      <c r="J46" s="105">
        <f t="shared" si="6"/>
        <v>497</v>
      </c>
      <c r="K46" s="105">
        <f t="shared" si="6"/>
        <v>2795</v>
      </c>
    </row>
    <row r="47" spans="1:11" x14ac:dyDescent="0.25">
      <c r="B47" s="90"/>
      <c r="C47" s="90"/>
      <c r="D47" s="90"/>
      <c r="E47" s="90"/>
      <c r="F47" s="90"/>
      <c r="G47" s="105"/>
      <c r="H47" s="105"/>
      <c r="I47" s="105"/>
      <c r="J47" s="105"/>
      <c r="K47" s="105"/>
    </row>
    <row r="48" spans="1:11" x14ac:dyDescent="0.25">
      <c r="B48" s="90" t="s">
        <v>227</v>
      </c>
      <c r="C48" s="90"/>
      <c r="D48" s="90"/>
      <c r="E48" s="90"/>
      <c r="F48" s="90"/>
      <c r="G48" s="105">
        <f>G38</f>
        <v>9904.0899999999929</v>
      </c>
      <c r="H48" s="105">
        <f t="shared" ref="H48:K48" si="7">H38</f>
        <v>1073.7000000000207</v>
      </c>
      <c r="I48" s="105">
        <f t="shared" si="7"/>
        <v>-3438.3600000000388</v>
      </c>
      <c r="J48" s="105">
        <f t="shared" si="7"/>
        <v>8740.7199999999921</v>
      </c>
      <c r="K48" s="105">
        <f t="shared" si="7"/>
        <v>-115.59999999998763</v>
      </c>
    </row>
    <row r="49" spans="2:11" x14ac:dyDescent="0.25">
      <c r="B49" s="90" t="s">
        <v>263</v>
      </c>
      <c r="C49" s="90"/>
      <c r="D49" s="90"/>
      <c r="E49" s="90"/>
      <c r="F49" s="90"/>
      <c r="G49" s="111">
        <v>0.25</v>
      </c>
      <c r="H49" s="111">
        <v>0.25</v>
      </c>
      <c r="I49" s="111">
        <v>0.25</v>
      </c>
      <c r="J49" s="111">
        <v>0.25</v>
      </c>
      <c r="K49" s="111">
        <v>0.25</v>
      </c>
    </row>
    <row r="50" spans="2:11" x14ac:dyDescent="0.25">
      <c r="B50" s="90" t="s">
        <v>265</v>
      </c>
      <c r="C50" s="90"/>
      <c r="D50" s="90"/>
      <c r="E50" s="90"/>
      <c r="F50" s="90"/>
      <c r="G50" s="105">
        <f>G48*(1-G49)</f>
        <v>7428.0674999999947</v>
      </c>
      <c r="H50" s="105">
        <f t="shared" ref="H50:K50" si="8">H48*(1-H49)</f>
        <v>805.27500000001555</v>
      </c>
      <c r="I50" s="105">
        <f t="shared" si="8"/>
        <v>-2578.7700000000291</v>
      </c>
      <c r="J50" s="105">
        <f t="shared" si="8"/>
        <v>6555.5399999999936</v>
      </c>
      <c r="K50" s="105">
        <f t="shared" si="8"/>
        <v>-86.699999999990723</v>
      </c>
    </row>
    <row r="51" spans="2:11" s="58" customFormat="1" x14ac:dyDescent="0.25">
      <c r="B51" s="90"/>
      <c r="C51" s="90"/>
      <c r="D51" s="90"/>
      <c r="E51" s="90"/>
      <c r="F51" s="90"/>
      <c r="G51" s="105"/>
      <c r="H51" s="105"/>
      <c r="I51" s="105"/>
      <c r="J51" s="105"/>
      <c r="K51" s="105"/>
    </row>
    <row r="52" spans="2:11" x14ac:dyDescent="0.25">
      <c r="B52" s="90" t="s">
        <v>264</v>
      </c>
      <c r="C52" s="90"/>
      <c r="D52" s="90"/>
      <c r="E52" s="90"/>
      <c r="F52" s="90"/>
      <c r="G52" s="105"/>
      <c r="H52" s="105">
        <f>SUM(H45:H46)</f>
        <v>977</v>
      </c>
      <c r="I52" s="105">
        <f t="shared" ref="I52:K52" si="9">SUM(I45:I46)</f>
        <v>1372</v>
      </c>
      <c r="J52" s="105">
        <f t="shared" si="9"/>
        <v>751</v>
      </c>
      <c r="K52" s="105">
        <f t="shared" si="9"/>
        <v>3293</v>
      </c>
    </row>
    <row r="53" spans="2:11" s="58" customFormat="1" ht="5.25" customHeight="1" x14ac:dyDescent="0.25">
      <c r="G53" s="106"/>
      <c r="H53" s="106"/>
      <c r="I53" s="106"/>
      <c r="J53" s="106"/>
      <c r="K53" s="106"/>
    </row>
    <row r="54" spans="2:11" ht="15.75" thickBot="1" x14ac:dyDescent="0.3">
      <c r="B54" s="99" t="s">
        <v>266</v>
      </c>
      <c r="C54" s="99"/>
      <c r="D54" s="99"/>
      <c r="E54" s="99"/>
      <c r="F54" s="99"/>
      <c r="G54" s="99"/>
      <c r="H54" s="112">
        <f>H52/H50</f>
        <v>1.2132501319424807</v>
      </c>
      <c r="I54" s="112">
        <f t="shared" ref="I54:K54" si="10">I52/I50</f>
        <v>-0.53203659108799328</v>
      </c>
      <c r="J54" s="112">
        <f t="shared" si="10"/>
        <v>0.11455959387022285</v>
      </c>
      <c r="K54" s="112">
        <f t="shared" si="10"/>
        <v>-37.981545559404296</v>
      </c>
    </row>
    <row r="55" spans="2:11" s="58" customFormat="1" x14ac:dyDescent="0.25">
      <c r="H55" s="81"/>
      <c r="I55" s="81"/>
      <c r="J55" s="81"/>
      <c r="K55" s="81"/>
    </row>
    <row r="56" spans="2:11" x14ac:dyDescent="0.25">
      <c r="J56" s="115" t="s">
        <v>267</v>
      </c>
      <c r="K56" s="116">
        <f>AVERAGE(H54:K54)</f>
        <v>-9.296443106169896</v>
      </c>
    </row>
    <row r="57" spans="2:11" x14ac:dyDescent="0.25">
      <c r="J57" s="115" t="s">
        <v>268</v>
      </c>
      <c r="K57" s="116">
        <f>MEDIAN(H54:K54)</f>
        <v>-0.20873849860888521</v>
      </c>
    </row>
    <row r="59" spans="2:11" x14ac:dyDescent="0.25">
      <c r="B59" s="98" t="s">
        <v>269</v>
      </c>
      <c r="C59" s="98"/>
      <c r="D59" s="98"/>
      <c r="E59" s="98"/>
      <c r="F59" s="98"/>
      <c r="G59" s="72">
        <f>G43</f>
        <v>43160</v>
      </c>
      <c r="H59" s="72">
        <f t="shared" ref="H59:K59" si="11">H43</f>
        <v>43525</v>
      </c>
      <c r="I59" s="72">
        <f t="shared" si="11"/>
        <v>43891</v>
      </c>
      <c r="J59" s="72">
        <f t="shared" si="11"/>
        <v>44256</v>
      </c>
      <c r="K59" s="72">
        <f t="shared" si="11"/>
        <v>44621</v>
      </c>
    </row>
    <row r="61" spans="2:11" x14ac:dyDescent="0.25">
      <c r="B61" s="90" t="s">
        <v>270</v>
      </c>
      <c r="C61" s="90"/>
      <c r="D61" s="90"/>
      <c r="E61" s="90"/>
      <c r="F61" s="90"/>
      <c r="G61" s="90"/>
      <c r="H61" s="113">
        <f>H54</f>
        <v>1.2132501319424807</v>
      </c>
      <c r="I61" s="113">
        <f t="shared" ref="I61:K61" si="12">I54</f>
        <v>-0.53203659108799328</v>
      </c>
      <c r="J61" s="113">
        <f t="shared" si="12"/>
        <v>0.11455959387022285</v>
      </c>
      <c r="K61" s="113">
        <f t="shared" si="12"/>
        <v>-37.981545559404296</v>
      </c>
    </row>
    <row r="62" spans="2:11" x14ac:dyDescent="0.25">
      <c r="B62" s="90" t="s">
        <v>259</v>
      </c>
      <c r="C62" s="90"/>
      <c r="D62" s="90"/>
      <c r="E62" s="90"/>
      <c r="F62" s="90"/>
      <c r="G62" s="90"/>
      <c r="H62" s="113">
        <f>H40</f>
        <v>0.13451515910799558</v>
      </c>
      <c r="I62" s="113">
        <f t="shared" ref="I62:K62" si="13">I40</f>
        <v>-0.39485071198898009</v>
      </c>
      <c r="J62" s="113">
        <f t="shared" si="13"/>
        <v>0.99416742493175525</v>
      </c>
      <c r="K62" s="113">
        <f t="shared" si="13"/>
        <v>-1.0278296434603684E-2</v>
      </c>
    </row>
    <row r="63" spans="2:11" ht="3" customHeight="1" x14ac:dyDescent="0.25"/>
    <row r="64" spans="2:11" ht="15.75" thickBot="1" x14ac:dyDescent="0.3">
      <c r="B64" s="99" t="s">
        <v>271</v>
      </c>
      <c r="C64" s="99"/>
      <c r="D64" s="99"/>
      <c r="E64" s="99"/>
      <c r="F64" s="99"/>
      <c r="G64" s="99"/>
      <c r="H64" s="114">
        <f>H61*H62</f>
        <v>0.16320053453603942</v>
      </c>
      <c r="I64" s="114">
        <f t="shared" ref="I64:K64" si="14">I61*I62</f>
        <v>0.210075026795284</v>
      </c>
      <c r="J64" s="114">
        <f t="shared" si="14"/>
        <v>0.11389141643918715</v>
      </c>
      <c r="K64" s="114">
        <f t="shared" si="14"/>
        <v>0.39038558430396253</v>
      </c>
    </row>
    <row r="66" spans="10:11" x14ac:dyDescent="0.25">
      <c r="J66" s="115" t="s">
        <v>267</v>
      </c>
      <c r="K66" s="116">
        <f>AVERAGE(H64:K64)</f>
        <v>0.21938814051861827</v>
      </c>
    </row>
    <row r="67" spans="10:11" x14ac:dyDescent="0.25">
      <c r="J67" s="115" t="s">
        <v>268</v>
      </c>
      <c r="K67" s="116">
        <f>MEDIAN(H64:K64)</f>
        <v>0.18663778066566172</v>
      </c>
    </row>
  </sheetData>
  <pageMargins left="0.7" right="0.7" top="0.75" bottom="0.75" header="0.3" footer="0.3"/>
  <ignoredErrors>
    <ignoredError sqref="G45:K45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F404-3AA9-4219-915B-69D74B6A42EB}">
  <dimension ref="A2:N107"/>
  <sheetViews>
    <sheetView showGridLines="0" zoomScaleNormal="100" workbookViewId="0">
      <pane ySplit="3" topLeftCell="A14" activePane="bottomLeft" state="frozen"/>
      <selection pane="bottomLeft" activeCell="D45" sqref="D45"/>
    </sheetView>
  </sheetViews>
  <sheetFormatPr defaultRowHeight="15" outlineLevelRow="1" x14ac:dyDescent="0.25"/>
  <cols>
    <col min="1" max="1" width="2.28515625" style="58" customWidth="1"/>
    <col min="2" max="2" width="26.85546875" style="58" bestFit="1" customWidth="1"/>
    <col min="3" max="3" width="14.42578125" style="58" bestFit="1" customWidth="1"/>
    <col min="4" max="12" width="12.28515625" style="58" bestFit="1" customWidth="1"/>
    <col min="13" max="13" width="12.7109375" style="58" bestFit="1" customWidth="1"/>
    <col min="14" max="16384" width="9.140625" style="58"/>
  </cols>
  <sheetData>
    <row r="2" spans="1:14" x14ac:dyDescent="0.25">
      <c r="B2" s="54" t="str">
        <f>"Historical Financial Statement - "&amp;'[1]Data Sheet'!B1</f>
        <v>Historical Financial Statement - TATA MOTORS LTD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</row>
    <row r="3" spans="1:14" x14ac:dyDescent="0.25">
      <c r="B3" s="71" t="s">
        <v>228</v>
      </c>
      <c r="C3" s="72">
        <f>'[1]Data Sheet'!B56</f>
        <v>41364</v>
      </c>
      <c r="D3" s="72">
        <f>'[1]Data Sheet'!C56</f>
        <v>41729</v>
      </c>
      <c r="E3" s="72">
        <f>'[1]Data Sheet'!D56</f>
        <v>42094</v>
      </c>
      <c r="F3" s="72">
        <f>'[1]Data Sheet'!E56</f>
        <v>42460</v>
      </c>
      <c r="G3" s="72">
        <f>'[1]Data Sheet'!F56</f>
        <v>42825</v>
      </c>
      <c r="H3" s="72">
        <f>'[1]Data Sheet'!G56</f>
        <v>43190</v>
      </c>
      <c r="I3" s="72">
        <f>'[1]Data Sheet'!H56</f>
        <v>43555</v>
      </c>
      <c r="J3" s="72">
        <f>'[1]Data Sheet'!I56</f>
        <v>43921</v>
      </c>
      <c r="K3" s="72">
        <f>'[1]Data Sheet'!J56</f>
        <v>44286</v>
      </c>
      <c r="L3" s="72">
        <f>'[1]Data Sheet'!K56</f>
        <v>44651</v>
      </c>
      <c r="M3" s="73" t="s">
        <v>229</v>
      </c>
      <c r="N3" s="70"/>
    </row>
    <row r="4" spans="1:14" x14ac:dyDescent="0.25">
      <c r="B4" s="78"/>
      <c r="C4" s="79"/>
      <c r="D4" s="79"/>
      <c r="E4" s="79"/>
      <c r="F4" s="79"/>
      <c r="G4" s="79"/>
      <c r="H4" s="79"/>
      <c r="I4" s="79"/>
      <c r="J4" s="79"/>
      <c r="K4" s="79"/>
      <c r="L4" s="79"/>
      <c r="M4" s="80"/>
      <c r="N4" s="70"/>
    </row>
    <row r="5" spans="1:14" x14ac:dyDescent="0.25">
      <c r="A5" s="58" t="s">
        <v>223</v>
      </c>
      <c r="B5" s="76" t="s">
        <v>230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</row>
    <row r="6" spans="1:14" outlineLevel="1" x14ac:dyDescent="0.25">
      <c r="B6" s="58" t="s">
        <v>117</v>
      </c>
      <c r="C6" s="68">
        <f>IFERROR('[1]Data Sheet'!B17,0)</f>
        <v>188792.69</v>
      </c>
      <c r="D6" s="68">
        <f>IFERROR('[1]Data Sheet'!C17,0)</f>
        <v>232833.66</v>
      </c>
      <c r="E6" s="68">
        <f>IFERROR('[1]Data Sheet'!D17,0)</f>
        <v>263158.98</v>
      </c>
      <c r="F6" s="68">
        <f>IFERROR('[1]Data Sheet'!E17,0)</f>
        <v>273045.59999999998</v>
      </c>
      <c r="G6" s="68">
        <f>IFERROR('[1]Data Sheet'!F17,0)</f>
        <v>269692.51</v>
      </c>
      <c r="H6" s="68">
        <f>IFERROR('[1]Data Sheet'!G17,0)</f>
        <v>291550.48</v>
      </c>
      <c r="I6" s="68">
        <f>IFERROR('[1]Data Sheet'!H17,0)</f>
        <v>301938.40000000002</v>
      </c>
      <c r="J6" s="68">
        <f>IFERROR('[1]Data Sheet'!I17,0)</f>
        <v>261067.97</v>
      </c>
      <c r="K6" s="68">
        <f>IFERROR('[1]Data Sheet'!J17,0)</f>
        <v>249794.75</v>
      </c>
      <c r="L6" s="68">
        <f>IFERROR('[1]Data Sheet'!K17,0)</f>
        <v>278453.62</v>
      </c>
      <c r="M6" s="68">
        <f>IFERROR(SUM('[1]Data Sheet'!H42:K42),0)</f>
        <v>302214.38</v>
      </c>
    </row>
    <row r="7" spans="1:14" outlineLevel="1" x14ac:dyDescent="0.25">
      <c r="B7" s="74" t="s">
        <v>231</v>
      </c>
      <c r="C7" s="74" t="s">
        <v>166</v>
      </c>
      <c r="D7" s="75">
        <f>D6/C6-1</f>
        <v>0.23327688164197458</v>
      </c>
      <c r="E7" s="75">
        <f t="shared" ref="E7:L7" si="0">E6/D6-1</f>
        <v>0.13024457030826198</v>
      </c>
      <c r="F7" s="75">
        <f t="shared" si="0"/>
        <v>3.75690010654397E-2</v>
      </c>
      <c r="G7" s="75">
        <f t="shared" si="0"/>
        <v>-1.2280329732469508E-2</v>
      </c>
      <c r="H7" s="75">
        <f t="shared" si="0"/>
        <v>8.104774581985974E-2</v>
      </c>
      <c r="I7" s="75">
        <f t="shared" si="0"/>
        <v>3.5629919045237157E-2</v>
      </c>
      <c r="J7" s="75">
        <f t="shared" si="0"/>
        <v>-0.135360159555724</v>
      </c>
      <c r="K7" s="75">
        <f t="shared" si="0"/>
        <v>-4.3181168490336042E-2</v>
      </c>
      <c r="L7" s="75">
        <f t="shared" si="0"/>
        <v>0.11472967306158344</v>
      </c>
      <c r="M7" s="75">
        <f>M6/L6-1</f>
        <v>8.5331122648001578E-2</v>
      </c>
    </row>
    <row r="8" spans="1:14" outlineLevel="1" x14ac:dyDescent="0.25"/>
    <row r="9" spans="1:14" outlineLevel="1" x14ac:dyDescent="0.25">
      <c r="B9" s="58" t="s">
        <v>232</v>
      </c>
      <c r="C9" s="68">
        <f>IFERROR(SUM('[1]Data Sheet'!B18,'[1]Data Sheet'!B20:B22)-1*'[1]Data Sheet'!B19,0)</f>
        <v>142238.74</v>
      </c>
      <c r="D9" s="68">
        <f>IFERROR(SUM('[1]Data Sheet'!C18,'[1]Data Sheet'!C20:C22)-1*'[1]Data Sheet'!C19,0)</f>
        <v>180131.06000000003</v>
      </c>
      <c r="E9" s="68">
        <f>IFERROR(SUM('[1]Data Sheet'!D18,'[1]Data Sheet'!D20:D22)-1*'[1]Data Sheet'!D19,0)</f>
        <v>202856.88</v>
      </c>
      <c r="F9" s="68">
        <f>IFERROR(SUM('[1]Data Sheet'!E18,'[1]Data Sheet'!E20:E22)-1*'[1]Data Sheet'!E19,0)</f>
        <v>205509.07</v>
      </c>
      <c r="G9" s="68">
        <f>IFERROR(SUM('[1]Data Sheet'!F18,'[1]Data Sheet'!F20:F22)-1*'[1]Data Sheet'!F19,0)</f>
        <v>205454.23999999996</v>
      </c>
      <c r="H9" s="68">
        <f>IFERROR(SUM('[1]Data Sheet'!G18,'[1]Data Sheet'!G20:G22)-1*'[1]Data Sheet'!G19,0)</f>
        <v>228429.83</v>
      </c>
      <c r="I9" s="68">
        <f>IFERROR(SUM('[1]Data Sheet'!H18,'[1]Data Sheet'!H20:H22)-1*'[1]Data Sheet'!H19,0)</f>
        <v>242845.53</v>
      </c>
      <c r="J9" s="68">
        <f>IFERROR(SUM('[1]Data Sheet'!I18,'[1]Data Sheet'!I20:I22)-1*'[1]Data Sheet'!I19,0)</f>
        <v>210376.07000000004</v>
      </c>
      <c r="K9" s="68">
        <f>IFERROR(SUM('[1]Data Sheet'!J18,'[1]Data Sheet'!J20:J22)-1*'[1]Data Sheet'!J19,0)</f>
        <v>195326.04</v>
      </c>
      <c r="L9" s="68">
        <f>IFERROR(SUM('[1]Data Sheet'!K18,'[1]Data Sheet'!K20:K22)-1*'[1]Data Sheet'!K19,0)</f>
        <v>223300.00999999998</v>
      </c>
      <c r="M9" s="68">
        <f>IFERROR(SUM('[1]Data Sheet'!H43:K43),0)</f>
        <v>278868.53000000003</v>
      </c>
    </row>
    <row r="10" spans="1:14" outlineLevel="1" x14ac:dyDescent="0.25">
      <c r="B10" s="74" t="s">
        <v>233</v>
      </c>
      <c r="C10" s="75">
        <f>C9/C6</f>
        <v>0.75341232756416565</v>
      </c>
      <c r="D10" s="75">
        <f t="shared" ref="D10:M10" si="1">D9/D6</f>
        <v>0.77364698901353024</v>
      </c>
      <c r="E10" s="75">
        <f t="shared" si="1"/>
        <v>0.77085296500237244</v>
      </c>
      <c r="F10" s="75">
        <f t="shared" si="1"/>
        <v>0.75265475803309057</v>
      </c>
      <c r="G10" s="75">
        <f t="shared" si="1"/>
        <v>0.76180921746770036</v>
      </c>
      <c r="H10" s="75">
        <f t="shared" si="1"/>
        <v>0.78350009919380004</v>
      </c>
      <c r="I10" s="75">
        <f t="shared" si="1"/>
        <v>0.80428832503583503</v>
      </c>
      <c r="J10" s="75">
        <f t="shared" si="1"/>
        <v>0.80582872728508226</v>
      </c>
      <c r="K10" s="75">
        <f t="shared" si="1"/>
        <v>0.7819461377791167</v>
      </c>
      <c r="L10" s="75">
        <f t="shared" si="1"/>
        <v>0.80192891728252624</v>
      </c>
      <c r="M10" s="75">
        <f t="shared" si="1"/>
        <v>0.92275069770008966</v>
      </c>
    </row>
    <row r="11" spans="1:14" outlineLevel="1" x14ac:dyDescent="0.25"/>
    <row r="12" spans="1:14" outlineLevel="1" x14ac:dyDescent="0.25">
      <c r="B12" s="85" t="s">
        <v>234</v>
      </c>
      <c r="C12" s="87">
        <f>C6-C9</f>
        <v>46553.950000000012</v>
      </c>
      <c r="D12" s="87">
        <f t="shared" ref="D12:M12" si="2">D6-D9</f>
        <v>52702.599999999977</v>
      </c>
      <c r="E12" s="87">
        <f t="shared" si="2"/>
        <v>60302.099999999977</v>
      </c>
      <c r="F12" s="87">
        <f t="shared" si="2"/>
        <v>67536.52999999997</v>
      </c>
      <c r="G12" s="87">
        <f t="shared" si="2"/>
        <v>64238.270000000048</v>
      </c>
      <c r="H12" s="87">
        <f t="shared" si="2"/>
        <v>63120.649999999994</v>
      </c>
      <c r="I12" s="87">
        <f t="shared" si="2"/>
        <v>59092.870000000024</v>
      </c>
      <c r="J12" s="87">
        <f t="shared" si="2"/>
        <v>50691.899999999965</v>
      </c>
      <c r="K12" s="87">
        <f t="shared" si="2"/>
        <v>54468.709999999992</v>
      </c>
      <c r="L12" s="87">
        <f t="shared" si="2"/>
        <v>55153.610000000015</v>
      </c>
      <c r="M12" s="87">
        <f t="shared" si="2"/>
        <v>23345.849999999977</v>
      </c>
    </row>
    <row r="13" spans="1:14" outlineLevel="1" x14ac:dyDescent="0.25">
      <c r="B13" s="74" t="s">
        <v>233</v>
      </c>
      <c r="C13" s="75">
        <f>C12/C6</f>
        <v>0.24658767243583429</v>
      </c>
      <c r="D13" s="75">
        <f t="shared" ref="D13:M13" si="3">D12/D6</f>
        <v>0.22635301098646982</v>
      </c>
      <c r="E13" s="75">
        <f t="shared" si="3"/>
        <v>0.22914703499762759</v>
      </c>
      <c r="F13" s="75">
        <f t="shared" si="3"/>
        <v>0.24734524196690946</v>
      </c>
      <c r="G13" s="75">
        <f t="shared" si="3"/>
        <v>0.23819078253229964</v>
      </c>
      <c r="H13" s="75">
        <f t="shared" si="3"/>
        <v>0.21649990080619999</v>
      </c>
      <c r="I13" s="75">
        <f t="shared" si="3"/>
        <v>0.19571167496416494</v>
      </c>
      <c r="J13" s="75">
        <f t="shared" si="3"/>
        <v>0.19417127271491774</v>
      </c>
      <c r="K13" s="75">
        <f t="shared" si="3"/>
        <v>0.2180538622208833</v>
      </c>
      <c r="L13" s="75">
        <f t="shared" si="3"/>
        <v>0.19807108271747378</v>
      </c>
      <c r="M13" s="75">
        <f t="shared" si="3"/>
        <v>7.7249302299910338E-2</v>
      </c>
    </row>
    <row r="14" spans="1:14" outlineLevel="1" x14ac:dyDescent="0.25"/>
    <row r="15" spans="1:14" outlineLevel="1" x14ac:dyDescent="0.25">
      <c r="B15" s="58" t="s">
        <v>235</v>
      </c>
      <c r="C15" s="68">
        <f>IFERROR(SUM('[1]Data Sheet'!B23:B24),0)</f>
        <v>21957.97</v>
      </c>
      <c r="D15" s="68">
        <f>IFERROR(SUM('[1]Data Sheet'!C23:C24),0)</f>
        <v>17849.240000000002</v>
      </c>
      <c r="E15" s="68">
        <f>IFERROR(SUM('[1]Data Sheet'!D23:D24),0)</f>
        <v>21063.449999999997</v>
      </c>
      <c r="F15" s="68">
        <f>IFERROR(SUM('[1]Data Sheet'!E23:E24),0)</f>
        <v>29141.280000000002</v>
      </c>
      <c r="G15" s="68">
        <f>IFERROR(SUM('[1]Data Sheet'!F23:F24),0)</f>
        <v>34649.58</v>
      </c>
      <c r="H15" s="68">
        <f>IFERROR(SUM('[1]Data Sheet'!G23:G24),0)</f>
        <v>31662.97</v>
      </c>
      <c r="I15" s="68">
        <f>IFERROR(SUM('[1]Data Sheet'!H23:H24),0)</f>
        <v>34428.54</v>
      </c>
      <c r="J15" s="68">
        <f>IFERROR(SUM('[1]Data Sheet'!I23:I24),0)</f>
        <v>32704.83</v>
      </c>
      <c r="K15" s="68">
        <f>IFERROR(SUM('[1]Data Sheet'!J23:J24),0)</f>
        <v>22181.280000000002</v>
      </c>
      <c r="L15" s="68">
        <f>IFERROR(SUM('[1]Data Sheet'!K23:K24),0)</f>
        <v>30433.52</v>
      </c>
    </row>
    <row r="16" spans="1:14" outlineLevel="1" x14ac:dyDescent="0.25">
      <c r="B16" s="74" t="s">
        <v>236</v>
      </c>
      <c r="C16" s="75">
        <f>C15/C6</f>
        <v>0.11630731041546154</v>
      </c>
      <c r="D16" s="75">
        <f t="shared" ref="D16:M16" si="4">D15/D6</f>
        <v>7.6660908908102038E-2</v>
      </c>
      <c r="E16" s="75">
        <f t="shared" si="4"/>
        <v>8.0040779911823637E-2</v>
      </c>
      <c r="F16" s="75">
        <f t="shared" si="4"/>
        <v>0.10672678849247161</v>
      </c>
      <c r="G16" s="75">
        <f t="shared" si="4"/>
        <v>0.12847809529452636</v>
      </c>
      <c r="H16" s="75">
        <f t="shared" si="4"/>
        <v>0.10860201636437025</v>
      </c>
      <c r="I16" s="75">
        <f t="shared" si="4"/>
        <v>0.11402504616835751</v>
      </c>
      <c r="J16" s="75">
        <f t="shared" si="4"/>
        <v>0.12527323822987554</v>
      </c>
      <c r="K16" s="75">
        <f t="shared" si="4"/>
        <v>8.8798023177028354E-2</v>
      </c>
      <c r="L16" s="75">
        <f t="shared" si="4"/>
        <v>0.10929475436519734</v>
      </c>
      <c r="M16" s="75">
        <f t="shared" si="4"/>
        <v>0</v>
      </c>
    </row>
    <row r="17" spans="2:13" outlineLevel="1" x14ac:dyDescent="0.25"/>
    <row r="18" spans="2:13" outlineLevel="1" x14ac:dyDescent="0.25">
      <c r="B18" s="85" t="s">
        <v>133</v>
      </c>
      <c r="C18" s="87">
        <f>C12-C15</f>
        <v>24595.98000000001</v>
      </c>
      <c r="D18" s="87">
        <f t="shared" ref="D18:L18" si="5">D12-D15</f>
        <v>34853.359999999971</v>
      </c>
      <c r="E18" s="87">
        <f t="shared" si="5"/>
        <v>39238.64999999998</v>
      </c>
      <c r="F18" s="87">
        <f t="shared" si="5"/>
        <v>38395.249999999971</v>
      </c>
      <c r="G18" s="87">
        <f t="shared" si="5"/>
        <v>29588.690000000046</v>
      </c>
      <c r="H18" s="87">
        <f t="shared" si="5"/>
        <v>31457.679999999993</v>
      </c>
      <c r="I18" s="87">
        <f t="shared" si="5"/>
        <v>24664.330000000024</v>
      </c>
      <c r="J18" s="87">
        <f t="shared" si="5"/>
        <v>17987.069999999963</v>
      </c>
      <c r="K18" s="87">
        <f t="shared" si="5"/>
        <v>32287.429999999989</v>
      </c>
      <c r="L18" s="87">
        <f t="shared" si="5"/>
        <v>24720.090000000015</v>
      </c>
      <c r="M18" s="87">
        <f>IFERROR(SUM('[1]Data Sheet'!H51:K51),0)</f>
        <v>27983.82</v>
      </c>
    </row>
    <row r="19" spans="2:13" outlineLevel="1" x14ac:dyDescent="0.25">
      <c r="B19" s="74" t="s">
        <v>237</v>
      </c>
      <c r="C19" s="75">
        <f>C18/C6</f>
        <v>0.13028036202037277</v>
      </c>
      <c r="D19" s="75">
        <f t="shared" ref="D19:M19" si="6">D18/D6</f>
        <v>0.14969210207836775</v>
      </c>
      <c r="E19" s="75">
        <f t="shared" si="6"/>
        <v>0.14910625508580397</v>
      </c>
      <c r="F19" s="75">
        <f t="shared" si="6"/>
        <v>0.14061845347443788</v>
      </c>
      <c r="G19" s="75">
        <f t="shared" si="6"/>
        <v>0.10971268723777329</v>
      </c>
      <c r="H19" s="75">
        <f t="shared" si="6"/>
        <v>0.10789788444182975</v>
      </c>
      <c r="I19" s="75">
        <f t="shared" si="6"/>
        <v>8.1686628795807431E-2</v>
      </c>
      <c r="J19" s="75">
        <f t="shared" si="6"/>
        <v>6.8898034485042198E-2</v>
      </c>
      <c r="K19" s="75">
        <f t="shared" si="6"/>
        <v>0.12925583904385496</v>
      </c>
      <c r="L19" s="75">
        <f t="shared" si="6"/>
        <v>8.877632835227646E-2</v>
      </c>
      <c r="M19" s="75">
        <f t="shared" si="6"/>
        <v>9.2595924786901276E-2</v>
      </c>
    </row>
    <row r="20" spans="2:13" outlineLevel="1" x14ac:dyDescent="0.25"/>
    <row r="21" spans="2:13" outlineLevel="1" x14ac:dyDescent="0.25">
      <c r="B21" s="58" t="s">
        <v>238</v>
      </c>
      <c r="C21" s="68">
        <f>IFERROR('[1]Data Sheet'!B27,0)</f>
        <v>3560.25</v>
      </c>
      <c r="D21" s="68">
        <f>IFERROR('[1]Data Sheet'!C27,0)</f>
        <v>4749.4399999999996</v>
      </c>
      <c r="E21" s="68">
        <f>IFERROR('[1]Data Sheet'!D27,0)</f>
        <v>4861.49</v>
      </c>
      <c r="F21" s="68">
        <f>IFERROR('[1]Data Sheet'!E27,0)</f>
        <v>4889.08</v>
      </c>
      <c r="G21" s="68">
        <f>IFERROR('[1]Data Sheet'!F27,0)</f>
        <v>4238.01</v>
      </c>
      <c r="H21" s="68">
        <f>IFERROR('[1]Data Sheet'!G27,0)</f>
        <v>4681.79</v>
      </c>
      <c r="I21" s="68">
        <f>IFERROR('[1]Data Sheet'!H27,0)</f>
        <v>5758.6</v>
      </c>
      <c r="J21" s="68">
        <f>IFERROR('[1]Data Sheet'!I27,0)</f>
        <v>7243.33</v>
      </c>
      <c r="K21" s="68">
        <f>IFERROR('[1]Data Sheet'!J27,0)</f>
        <v>8097.17</v>
      </c>
      <c r="L21" s="68">
        <f>IFERROR('[1]Data Sheet'!K27,0)</f>
        <v>9311.86</v>
      </c>
      <c r="M21" s="68">
        <f>IFERROR(SUM('[1]Data Sheet'!H46:K46),0)</f>
        <v>9689.24</v>
      </c>
    </row>
    <row r="22" spans="2:13" outlineLevel="1" x14ac:dyDescent="0.25">
      <c r="B22" s="74" t="s">
        <v>239</v>
      </c>
      <c r="C22" s="75">
        <f>C21/C6</f>
        <v>1.8857986503608801E-2</v>
      </c>
      <c r="D22" s="75">
        <f t="shared" ref="D22:M22" si="7">D21/D6</f>
        <v>2.0398425210512945E-2</v>
      </c>
      <c r="E22" s="75">
        <f t="shared" si="7"/>
        <v>1.8473585814932098E-2</v>
      </c>
      <c r="F22" s="75">
        <f t="shared" si="7"/>
        <v>1.7905727101993223E-2</v>
      </c>
      <c r="G22" s="75">
        <f t="shared" si="7"/>
        <v>1.5714229512714312E-2</v>
      </c>
      <c r="H22" s="75">
        <f t="shared" si="7"/>
        <v>1.605824830060304E-2</v>
      </c>
      <c r="I22" s="75">
        <f t="shared" si="7"/>
        <v>1.9072102124141878E-2</v>
      </c>
      <c r="J22" s="75">
        <f t="shared" si="7"/>
        <v>2.7744996829752802E-2</v>
      </c>
      <c r="K22" s="75">
        <f t="shared" si="7"/>
        <v>3.2415292955516477E-2</v>
      </c>
      <c r="L22" s="75">
        <f t="shared" si="7"/>
        <v>3.3441332168710897E-2</v>
      </c>
      <c r="M22" s="75">
        <f t="shared" si="7"/>
        <v>3.2060817225176376E-2</v>
      </c>
    </row>
    <row r="23" spans="2:13" outlineLevel="1" x14ac:dyDescent="0.25"/>
    <row r="24" spans="2:13" outlineLevel="1" x14ac:dyDescent="0.25">
      <c r="B24" s="58" t="s">
        <v>126</v>
      </c>
      <c r="C24" s="68">
        <f>IFERROR('[1]Data Sheet'!B26,0)</f>
        <v>7601.28</v>
      </c>
      <c r="D24" s="68">
        <f>IFERROR('[1]Data Sheet'!C26,0)</f>
        <v>11078.16</v>
      </c>
      <c r="E24" s="68">
        <f>IFERROR('[1]Data Sheet'!D26,0)</f>
        <v>13388.63</v>
      </c>
      <c r="F24" s="68">
        <f>IFERROR('[1]Data Sheet'!E26,0)</f>
        <v>16710.78</v>
      </c>
      <c r="G24" s="68">
        <f>IFERROR('[1]Data Sheet'!F26,0)</f>
        <v>17904.990000000002</v>
      </c>
      <c r="H24" s="68">
        <f>IFERROR('[1]Data Sheet'!G26,0)</f>
        <v>21553.59</v>
      </c>
      <c r="I24" s="68">
        <f>IFERROR('[1]Data Sheet'!H26,0)</f>
        <v>23590.63</v>
      </c>
      <c r="J24" s="68">
        <f>IFERROR('[1]Data Sheet'!I26,0)</f>
        <v>21425.43</v>
      </c>
      <c r="K24" s="68">
        <f>IFERROR('[1]Data Sheet'!J26,0)</f>
        <v>23546.71</v>
      </c>
      <c r="L24" s="68">
        <f>IFERROR('[1]Data Sheet'!K26,0)</f>
        <v>24835.69</v>
      </c>
      <c r="M24" s="68">
        <f>IFERROR(SUM('[1]Data Sheet'!H45:K45),0)</f>
        <v>24248.62</v>
      </c>
    </row>
    <row r="25" spans="2:13" outlineLevel="1" x14ac:dyDescent="0.25">
      <c r="B25" s="74" t="s">
        <v>240</v>
      </c>
      <c r="C25" s="75">
        <f>C24/C6</f>
        <v>4.0262575844435503E-2</v>
      </c>
      <c r="D25" s="75">
        <f t="shared" ref="D25:M25" si="8">D24/D6</f>
        <v>4.757971849946438E-2</v>
      </c>
      <c r="E25" s="75">
        <f t="shared" si="8"/>
        <v>5.0876584184966822E-2</v>
      </c>
      <c r="F25" s="75">
        <f t="shared" si="8"/>
        <v>6.1201425695927715E-2</v>
      </c>
      <c r="G25" s="75">
        <f t="shared" si="8"/>
        <v>6.63903865924938E-2</v>
      </c>
      <c r="H25" s="75">
        <f t="shared" si="8"/>
        <v>7.3927472182518786E-2</v>
      </c>
      <c r="I25" s="75">
        <f t="shared" si="8"/>
        <v>7.8130605447998658E-2</v>
      </c>
      <c r="J25" s="75">
        <f t="shared" si="8"/>
        <v>8.206839774331566E-2</v>
      </c>
      <c r="K25" s="75">
        <f t="shared" si="8"/>
        <v>9.4264230933596482E-2</v>
      </c>
      <c r="L25" s="75">
        <f t="shared" si="8"/>
        <v>8.9191478279219347E-2</v>
      </c>
      <c r="M25" s="75">
        <f t="shared" si="8"/>
        <v>8.0236486430592738E-2</v>
      </c>
    </row>
    <row r="26" spans="2:13" outlineLevel="1" x14ac:dyDescent="0.25"/>
    <row r="27" spans="2:13" outlineLevel="1" x14ac:dyDescent="0.25">
      <c r="B27" s="85" t="s">
        <v>241</v>
      </c>
      <c r="C27" s="86">
        <f>IFERROR(C18-SUM(C21,C24),0)</f>
        <v>13434.450000000012</v>
      </c>
      <c r="D27" s="86">
        <f t="shared" ref="D27:M27" si="9">IFERROR(D18-SUM(D21,D24),0)</f>
        <v>19025.759999999973</v>
      </c>
      <c r="E27" s="86">
        <f t="shared" si="9"/>
        <v>20988.529999999981</v>
      </c>
      <c r="F27" s="86">
        <f t="shared" si="9"/>
        <v>16795.38999999997</v>
      </c>
      <c r="G27" s="86">
        <f t="shared" si="9"/>
        <v>7445.690000000046</v>
      </c>
      <c r="H27" s="86">
        <f t="shared" si="9"/>
        <v>5222.299999999992</v>
      </c>
      <c r="I27" s="86">
        <f t="shared" si="9"/>
        <v>-4684.8999999999796</v>
      </c>
      <c r="J27" s="86">
        <f t="shared" si="9"/>
        <v>-10681.690000000039</v>
      </c>
      <c r="K27" s="86">
        <f t="shared" si="9"/>
        <v>643.549999999992</v>
      </c>
      <c r="L27" s="86">
        <f t="shared" si="9"/>
        <v>-9427.4599999999882</v>
      </c>
      <c r="M27" s="86">
        <f t="shared" si="9"/>
        <v>-5954.0400000000009</v>
      </c>
    </row>
    <row r="28" spans="2:13" outlineLevel="1" x14ac:dyDescent="0.25">
      <c r="B28" s="74" t="s">
        <v>242</v>
      </c>
      <c r="C28" s="75">
        <f>C27/C6</f>
        <v>7.115979967232848E-2</v>
      </c>
      <c r="D28" s="75">
        <f t="shared" ref="D28:M28" si="10">D27/D6</f>
        <v>8.1713958368390432E-2</v>
      </c>
      <c r="E28" s="75">
        <f t="shared" si="10"/>
        <v>7.9756085085905037E-2</v>
      </c>
      <c r="F28" s="75">
        <f t="shared" si="10"/>
        <v>6.1511300676516931E-2</v>
      </c>
      <c r="G28" s="75">
        <f t="shared" si="10"/>
        <v>2.7608071132565179E-2</v>
      </c>
      <c r="H28" s="75">
        <f t="shared" si="10"/>
        <v>1.7912163958707913E-2</v>
      </c>
      <c r="I28" s="75">
        <f t="shared" si="10"/>
        <v>-1.5516078776333117E-2</v>
      </c>
      <c r="J28" s="75">
        <f t="shared" si="10"/>
        <v>-4.0915360088026265E-2</v>
      </c>
      <c r="K28" s="75">
        <f t="shared" si="10"/>
        <v>2.5763151547420113E-3</v>
      </c>
      <c r="L28" s="75">
        <f t="shared" si="10"/>
        <v>-3.3856482095653805E-2</v>
      </c>
      <c r="M28" s="75">
        <f t="shared" si="10"/>
        <v>-1.9701378868867858E-2</v>
      </c>
    </row>
    <row r="29" spans="2:13" outlineLevel="1" x14ac:dyDescent="0.25"/>
    <row r="30" spans="2:13" outlineLevel="1" x14ac:dyDescent="0.25">
      <c r="B30" s="58" t="s">
        <v>129</v>
      </c>
      <c r="C30" s="68">
        <f>IFERROR('[1]Data Sheet'!B29,0)</f>
        <v>3776.66</v>
      </c>
      <c r="D30" s="68">
        <f>IFERROR('[1]Data Sheet'!C29,0)</f>
        <v>4764.79</v>
      </c>
      <c r="E30" s="68">
        <f>IFERROR('[1]Data Sheet'!D29,0)</f>
        <v>7642.91</v>
      </c>
      <c r="F30" s="68">
        <f>IFERROR('[1]Data Sheet'!E29,0)</f>
        <v>3025.05</v>
      </c>
      <c r="G30" s="68">
        <f>IFERROR('[1]Data Sheet'!F29,0)</f>
        <v>3251.23</v>
      </c>
      <c r="H30" s="68">
        <f>IFERROR('[1]Data Sheet'!G29,0)</f>
        <v>4341.93</v>
      </c>
      <c r="I30" s="68">
        <f>IFERROR('[1]Data Sheet'!H29,0)</f>
        <v>-2437.4499999999998</v>
      </c>
      <c r="J30" s="68">
        <f>IFERROR('[1]Data Sheet'!I29,0)</f>
        <v>395.25</v>
      </c>
      <c r="K30" s="68">
        <f>IFERROR('[1]Data Sheet'!J29,0)</f>
        <v>2541.86</v>
      </c>
      <c r="L30" s="68">
        <f>IFERROR('[1]Data Sheet'!K29,0)</f>
        <v>4231.29</v>
      </c>
      <c r="M30" s="68">
        <f>IFERROR(SUM('[1]Data Sheet'!H48:K48),0)</f>
        <v>2546.15</v>
      </c>
    </row>
    <row r="31" spans="2:13" outlineLevel="1" x14ac:dyDescent="0.25">
      <c r="B31" s="74" t="s">
        <v>132</v>
      </c>
      <c r="C31" s="75">
        <f>C30/C27</f>
        <v>0.28111757459367498</v>
      </c>
      <c r="D31" s="75">
        <f t="shared" ref="D31:M31" si="11">D30/D27</f>
        <v>0.25043887865714731</v>
      </c>
      <c r="E31" s="75">
        <f t="shared" si="11"/>
        <v>0.3641469888553418</v>
      </c>
      <c r="F31" s="75">
        <f t="shared" si="11"/>
        <v>0.18011192356950362</v>
      </c>
      <c r="G31" s="75">
        <f t="shared" si="11"/>
        <v>0.43665932908836924</v>
      </c>
      <c r="H31" s="75">
        <f t="shared" si="11"/>
        <v>0.8314210213890445</v>
      </c>
      <c r="I31" s="75">
        <f t="shared" si="11"/>
        <v>0.52027791414971725</v>
      </c>
      <c r="J31" s="75">
        <f t="shared" si="11"/>
        <v>-3.7002571690434617E-2</v>
      </c>
      <c r="K31" s="75">
        <f t="shared" si="11"/>
        <v>3.9497474943672315</v>
      </c>
      <c r="L31" s="75">
        <f t="shared" si="11"/>
        <v>-0.4488260888935095</v>
      </c>
      <c r="M31" s="75">
        <f t="shared" si="11"/>
        <v>-0.42763400984877492</v>
      </c>
    </row>
    <row r="32" spans="2:13" outlineLevel="1" x14ac:dyDescent="0.25"/>
    <row r="33" spans="1:13" outlineLevel="1" x14ac:dyDescent="0.25">
      <c r="B33" s="85" t="s">
        <v>243</v>
      </c>
      <c r="C33" s="87">
        <f>IFERROR(C27-C30,0)</f>
        <v>9657.7900000000118</v>
      </c>
      <c r="D33" s="87">
        <f t="shared" ref="D33:M33" si="12">IFERROR(D27-D30,0)</f>
        <v>14260.969999999972</v>
      </c>
      <c r="E33" s="87">
        <f t="shared" si="12"/>
        <v>13345.619999999981</v>
      </c>
      <c r="F33" s="87">
        <f t="shared" si="12"/>
        <v>13770.339999999971</v>
      </c>
      <c r="G33" s="87">
        <f t="shared" si="12"/>
        <v>4194.4600000000464</v>
      </c>
      <c r="H33" s="87">
        <f t="shared" si="12"/>
        <v>880.36999999999171</v>
      </c>
      <c r="I33" s="87">
        <f t="shared" si="12"/>
        <v>-2247.4499999999798</v>
      </c>
      <c r="J33" s="87">
        <f t="shared" si="12"/>
        <v>-11076.940000000039</v>
      </c>
      <c r="K33" s="87">
        <f t="shared" si="12"/>
        <v>-1898.3100000000081</v>
      </c>
      <c r="L33" s="87">
        <f t="shared" si="12"/>
        <v>-13658.749999999989</v>
      </c>
      <c r="M33" s="87">
        <f t="shared" si="12"/>
        <v>-8500.19</v>
      </c>
    </row>
    <row r="34" spans="1:13" outlineLevel="1" x14ac:dyDescent="0.25">
      <c r="B34" s="74" t="s">
        <v>244</v>
      </c>
      <c r="C34" s="75">
        <f>C33/C6</f>
        <v>5.1155529379871709E-2</v>
      </c>
      <c r="D34" s="75">
        <f t="shared" ref="D34:M34" si="13">D33/D6</f>
        <v>6.124960626397391E-2</v>
      </c>
      <c r="E34" s="75">
        <f t="shared" si="13"/>
        <v>5.0713146858982282E-2</v>
      </c>
      <c r="F34" s="75">
        <f t="shared" si="13"/>
        <v>5.0432381990407359E-2</v>
      </c>
      <c r="G34" s="75">
        <f t="shared" si="13"/>
        <v>1.5552749314395296E-2</v>
      </c>
      <c r="H34" s="75">
        <f t="shared" si="13"/>
        <v>3.01961430487095E-3</v>
      </c>
      <c r="I34" s="75">
        <f t="shared" si="13"/>
        <v>-7.4434056747998256E-3</v>
      </c>
      <c r="J34" s="75">
        <f t="shared" si="13"/>
        <v>-4.2429333632923408E-2</v>
      </c>
      <c r="K34" s="75">
        <f t="shared" si="13"/>
        <v>-7.5994791724005731E-3</v>
      </c>
      <c r="L34" s="75">
        <f t="shared" si="13"/>
        <v>-4.9052154538339235E-2</v>
      </c>
      <c r="M34" s="75">
        <f t="shared" si="13"/>
        <v>-2.812635851411174E-2</v>
      </c>
    </row>
    <row r="35" spans="1:13" outlineLevel="1" x14ac:dyDescent="0.25"/>
    <row r="36" spans="1:13" outlineLevel="1" x14ac:dyDescent="0.25">
      <c r="B36" s="58" t="s">
        <v>245</v>
      </c>
      <c r="C36" s="69">
        <f>IFERROR('[1]Data Sheet'!B93,0)</f>
        <v>285.72000000000003</v>
      </c>
      <c r="D36" s="69">
        <f>IFERROR('[1]Data Sheet'!C93,0)</f>
        <v>288.74</v>
      </c>
      <c r="E36" s="69">
        <f>IFERROR('[1]Data Sheet'!D93,0)</f>
        <v>288.74</v>
      </c>
      <c r="F36" s="69">
        <f>IFERROR('[1]Data Sheet'!E93,0)</f>
        <v>288.72000000000003</v>
      </c>
      <c r="G36" s="69">
        <f>IFERROR('[1]Data Sheet'!F93,0)</f>
        <v>288.73</v>
      </c>
      <c r="H36" s="69">
        <f>IFERROR('[1]Data Sheet'!G93,0)</f>
        <v>288.73</v>
      </c>
      <c r="I36" s="69">
        <f>IFERROR('[1]Data Sheet'!H93,0)</f>
        <v>288.73</v>
      </c>
      <c r="J36" s="69">
        <f>IFERROR('[1]Data Sheet'!I93,0)</f>
        <v>308.89999999999998</v>
      </c>
      <c r="K36" s="69">
        <f>IFERROR('[1]Data Sheet'!J93,0)</f>
        <v>332.03</v>
      </c>
      <c r="L36" s="69">
        <f>IFERROR('[1]Data Sheet'!K93,0)</f>
        <v>332.07</v>
      </c>
      <c r="M36" s="69">
        <f>IFERROR('[1]Data Sheet'!L93,0)</f>
        <v>0</v>
      </c>
    </row>
    <row r="37" spans="1:13" outlineLevel="1" x14ac:dyDescent="0.25"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</row>
    <row r="38" spans="1:13" outlineLevel="1" x14ac:dyDescent="0.25">
      <c r="B38" s="58" t="s">
        <v>246</v>
      </c>
      <c r="C38" s="69">
        <f>IFERROR(C33/C36,0)</f>
        <v>33.80158896822067</v>
      </c>
      <c r="D38" s="69">
        <f t="shared" ref="D38:M38" si="14">IFERROR(D33/D36,0)</f>
        <v>49.390351180993186</v>
      </c>
      <c r="E38" s="69">
        <f t="shared" si="14"/>
        <v>46.220198102098706</v>
      </c>
      <c r="F38" s="69">
        <f t="shared" si="14"/>
        <v>47.694444444444336</v>
      </c>
      <c r="G38" s="69">
        <f t="shared" si="14"/>
        <v>14.527274616423808</v>
      </c>
      <c r="H38" s="69">
        <f t="shared" si="14"/>
        <v>3.049111626779315</v>
      </c>
      <c r="I38" s="69">
        <f t="shared" si="14"/>
        <v>-7.7839157690575265</v>
      </c>
      <c r="J38" s="69">
        <f t="shared" si="14"/>
        <v>-35.859307219164904</v>
      </c>
      <c r="K38" s="69">
        <f t="shared" si="14"/>
        <v>-5.7172845827184542</v>
      </c>
      <c r="L38" s="69">
        <f t="shared" si="14"/>
        <v>-41.132140813683833</v>
      </c>
      <c r="M38" s="69">
        <f t="shared" si="14"/>
        <v>0</v>
      </c>
    </row>
    <row r="39" spans="1:13" outlineLevel="1" x14ac:dyDescent="0.25">
      <c r="B39" s="74" t="s">
        <v>247</v>
      </c>
      <c r="C39" s="75"/>
      <c r="D39" s="75">
        <f>IFERROR(D38/C38-1,0)</f>
        <v>0.46118430194002547</v>
      </c>
      <c r="E39" s="75">
        <f t="shared" ref="E39:M39" si="15">E38/D38-1</f>
        <v>-6.4185676009415493E-2</v>
      </c>
      <c r="F39" s="75">
        <f t="shared" si="15"/>
        <v>3.189614936502605E-2</v>
      </c>
      <c r="G39" s="75">
        <f t="shared" si="15"/>
        <v>-0.69540950134463697</v>
      </c>
      <c r="H39" s="75">
        <f t="shared" si="15"/>
        <v>-0.79011124197155724</v>
      </c>
      <c r="I39" s="75">
        <f t="shared" si="15"/>
        <v>-3.5528470983790919</v>
      </c>
      <c r="J39" s="75">
        <f t="shared" si="15"/>
        <v>3.6068467700681115</v>
      </c>
      <c r="K39" s="75">
        <f t="shared" si="15"/>
        <v>-0.84056344011958861</v>
      </c>
      <c r="L39" s="75">
        <f t="shared" si="15"/>
        <v>6.194349033807641</v>
      </c>
      <c r="M39" s="75">
        <f t="shared" si="15"/>
        <v>-1</v>
      </c>
    </row>
    <row r="40" spans="1:13" outlineLevel="1" x14ac:dyDescent="0.25"/>
    <row r="41" spans="1:13" outlineLevel="1" x14ac:dyDescent="0.25">
      <c r="B41" s="58" t="s">
        <v>248</v>
      </c>
      <c r="C41" s="68">
        <f>IFERROR('[1]Data Sheet'!B31/HistoricalFS!C36,0)</f>
        <v>2.2332003359932799</v>
      </c>
      <c r="D41" s="68">
        <f>IFERROR('[1]Data Sheet'!C31/HistoricalFS!D36,0)</f>
        <v>2.2296183417607534</v>
      </c>
      <c r="E41" s="68">
        <f>IFERROR('[1]Data Sheet'!D31/HistoricalFS!E36,0)</f>
        <v>0</v>
      </c>
      <c r="F41" s="68">
        <f>IFERROR('[1]Data Sheet'!E31/HistoricalFS!F36,0)</f>
        <v>0.23524522028262676</v>
      </c>
      <c r="G41" s="68">
        <f>IFERROR('[1]Data Sheet'!F31/HistoricalFS!G36,0)</f>
        <v>0</v>
      </c>
      <c r="H41" s="68">
        <f>IFERROR('[1]Data Sheet'!G31/HistoricalFS!H36,0)</f>
        <v>0</v>
      </c>
      <c r="I41" s="68">
        <f>IFERROR('[1]Data Sheet'!H31/HistoricalFS!I36,0)</f>
        <v>0</v>
      </c>
      <c r="J41" s="68">
        <f>IFERROR('[1]Data Sheet'!I31/HistoricalFS!J36,0)</f>
        <v>0</v>
      </c>
      <c r="K41" s="68">
        <f>IFERROR('[1]Data Sheet'!J31/HistoricalFS!K36,0)</f>
        <v>0</v>
      </c>
      <c r="L41" s="68">
        <f>IFERROR('[1]Data Sheet'!K31/HistoricalFS!L36,0)</f>
        <v>0</v>
      </c>
      <c r="M41" s="68">
        <f>IFERROR('[1]Data Sheet'!L31/HistoricalFS!M36,0)</f>
        <v>0</v>
      </c>
    </row>
    <row r="42" spans="1:13" outlineLevel="1" x14ac:dyDescent="0.25">
      <c r="B42" s="74" t="s">
        <v>249</v>
      </c>
      <c r="C42" s="75">
        <f>IFERROR(C41/C38,0)</f>
        <v>6.6067909946271278E-2</v>
      </c>
      <c r="D42" s="75">
        <f t="shared" ref="D42:M42" si="16">IFERROR(D41/D38,0)</f>
        <v>4.5142791829728357E-2</v>
      </c>
      <c r="E42" s="75">
        <f t="shared" si="16"/>
        <v>0</v>
      </c>
      <c r="F42" s="75">
        <f t="shared" si="16"/>
        <v>4.9323400874633563E-3</v>
      </c>
      <c r="G42" s="75">
        <f t="shared" si="16"/>
        <v>0</v>
      </c>
      <c r="H42" s="75">
        <f t="shared" si="16"/>
        <v>0</v>
      </c>
      <c r="I42" s="75">
        <f t="shared" si="16"/>
        <v>0</v>
      </c>
      <c r="J42" s="75">
        <f t="shared" si="16"/>
        <v>0</v>
      </c>
      <c r="K42" s="75">
        <f t="shared" si="16"/>
        <v>0</v>
      </c>
      <c r="L42" s="75">
        <f t="shared" si="16"/>
        <v>0</v>
      </c>
      <c r="M42" s="75">
        <f t="shared" si="16"/>
        <v>0</v>
      </c>
    </row>
    <row r="43" spans="1:13" outlineLevel="1" x14ac:dyDescent="0.25"/>
    <row r="44" spans="1:13" outlineLevel="1" x14ac:dyDescent="0.25">
      <c r="B44" s="58" t="s">
        <v>250</v>
      </c>
      <c r="C44" s="81">
        <f>IFERROR(IF(C38&gt;C41,1-C42,0),0)</f>
        <v>0.93393209005372868</v>
      </c>
      <c r="D44" s="81">
        <f t="shared" ref="D44:M44" si="17">IFERROR(IF(D38&gt;D41,1-D42,0),0)</f>
        <v>0.95485720817027164</v>
      </c>
      <c r="E44" s="81">
        <f t="shared" si="17"/>
        <v>1</v>
      </c>
      <c r="F44" s="81">
        <f t="shared" si="17"/>
        <v>0.99506765991253665</v>
      </c>
      <c r="G44" s="81">
        <f t="shared" si="17"/>
        <v>1</v>
      </c>
      <c r="H44" s="81">
        <f t="shared" si="17"/>
        <v>1</v>
      </c>
      <c r="I44" s="81">
        <f t="shared" si="17"/>
        <v>0</v>
      </c>
      <c r="J44" s="81">
        <f t="shared" si="17"/>
        <v>0</v>
      </c>
      <c r="K44" s="81">
        <f t="shared" si="17"/>
        <v>0</v>
      </c>
      <c r="L44" s="81">
        <f t="shared" si="17"/>
        <v>0</v>
      </c>
      <c r="M44" s="81">
        <f t="shared" si="17"/>
        <v>0</v>
      </c>
    </row>
    <row r="46" spans="1:13" x14ac:dyDescent="0.25">
      <c r="A46" s="58" t="s">
        <v>223</v>
      </c>
      <c r="B46" s="76" t="s">
        <v>251</v>
      </c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</row>
    <row r="47" spans="1:13" outlineLevel="1" x14ac:dyDescent="0.25">
      <c r="B47" s="58" t="s">
        <v>138</v>
      </c>
      <c r="C47" s="68">
        <f>IFERROR('[1]Data Sheet'!B57,0)</f>
        <v>638.07000000000005</v>
      </c>
      <c r="D47" s="68">
        <f>IFERROR('[1]Data Sheet'!C57,0)</f>
        <v>643.78</v>
      </c>
      <c r="E47" s="68">
        <f>IFERROR('[1]Data Sheet'!D57,0)</f>
        <v>643.78</v>
      </c>
      <c r="F47" s="68">
        <f>IFERROR('[1]Data Sheet'!E57,0)</f>
        <v>679.18</v>
      </c>
      <c r="G47" s="68">
        <f>IFERROR('[1]Data Sheet'!F57,0)</f>
        <v>679.22</v>
      </c>
      <c r="H47" s="68">
        <f>IFERROR('[1]Data Sheet'!G57,0)</f>
        <v>679.22</v>
      </c>
      <c r="I47" s="68">
        <f>IFERROR('[1]Data Sheet'!H57,0)</f>
        <v>679.22</v>
      </c>
      <c r="J47" s="68">
        <f>IFERROR('[1]Data Sheet'!I57,0)</f>
        <v>719.54</v>
      </c>
      <c r="K47" s="68">
        <f>IFERROR('[1]Data Sheet'!J57,0)</f>
        <v>765.81</v>
      </c>
      <c r="L47" s="68">
        <f>IFERROR('[1]Data Sheet'!K57,0)</f>
        <v>765.88</v>
      </c>
    </row>
    <row r="48" spans="1:13" outlineLevel="1" x14ac:dyDescent="0.25">
      <c r="B48" s="58" t="s">
        <v>139</v>
      </c>
      <c r="C48" s="68">
        <f>IFERROR('[1]Data Sheet'!B58,0)</f>
        <v>36999.230000000003</v>
      </c>
      <c r="D48" s="68">
        <f>IFERROR('[1]Data Sheet'!C58,0)</f>
        <v>64959.67</v>
      </c>
      <c r="E48" s="68">
        <f>IFERROR('[1]Data Sheet'!D58,0)</f>
        <v>55618.14</v>
      </c>
      <c r="F48" s="68">
        <f>IFERROR('[1]Data Sheet'!E58,0)</f>
        <v>78273.23</v>
      </c>
      <c r="G48" s="68">
        <f>IFERROR('[1]Data Sheet'!F58,0)</f>
        <v>57382.67</v>
      </c>
      <c r="H48" s="68">
        <f>IFERROR('[1]Data Sheet'!G58,0)</f>
        <v>94748.69</v>
      </c>
      <c r="I48" s="68">
        <f>IFERROR('[1]Data Sheet'!H58,0)</f>
        <v>59500.34</v>
      </c>
      <c r="J48" s="68">
        <f>IFERROR('[1]Data Sheet'!I58,0)</f>
        <v>61491.49</v>
      </c>
      <c r="K48" s="68">
        <f>IFERROR('[1]Data Sheet'!J58,0)</f>
        <v>54480.91</v>
      </c>
      <c r="L48" s="68">
        <f>IFERROR('[1]Data Sheet'!K58,0)</f>
        <v>43795.360000000001</v>
      </c>
    </row>
    <row r="49" spans="2:12" outlineLevel="1" x14ac:dyDescent="0.25">
      <c r="B49" s="58" t="s">
        <v>140</v>
      </c>
      <c r="C49" s="68">
        <f>IFERROR('[1]Data Sheet'!B59,0)</f>
        <v>53715.71</v>
      </c>
      <c r="D49" s="68">
        <f>IFERROR('[1]Data Sheet'!C59,0)</f>
        <v>60642.28</v>
      </c>
      <c r="E49" s="68">
        <f>IFERROR('[1]Data Sheet'!D59,0)</f>
        <v>73610.39</v>
      </c>
      <c r="F49" s="68">
        <f>IFERROR('[1]Data Sheet'!E59,0)</f>
        <v>69359.960000000006</v>
      </c>
      <c r="G49" s="68">
        <f>IFERROR('[1]Data Sheet'!F59,0)</f>
        <v>78603.98</v>
      </c>
      <c r="H49" s="68">
        <f>IFERROR('[1]Data Sheet'!G59,0)</f>
        <v>88950.47</v>
      </c>
      <c r="I49" s="68">
        <f>IFERROR('[1]Data Sheet'!H59,0)</f>
        <v>106175.34</v>
      </c>
      <c r="J49" s="68">
        <f>IFERROR('[1]Data Sheet'!I59,0)</f>
        <v>124787.64</v>
      </c>
      <c r="K49" s="68">
        <f>IFERROR('[1]Data Sheet'!J59,0)</f>
        <v>142130.57</v>
      </c>
      <c r="L49" s="68">
        <f>IFERROR('[1]Data Sheet'!K59,0)</f>
        <v>146449.03</v>
      </c>
    </row>
    <row r="50" spans="2:12" outlineLevel="1" x14ac:dyDescent="0.25">
      <c r="B50" s="58" t="s">
        <v>141</v>
      </c>
      <c r="C50" s="68">
        <f>IFERROR('[1]Data Sheet'!B60,0)</f>
        <v>76977.02</v>
      </c>
      <c r="D50" s="68">
        <f>IFERROR('[1]Data Sheet'!C60,0)</f>
        <v>92180.26</v>
      </c>
      <c r="E50" s="68">
        <f>IFERROR('[1]Data Sheet'!D60,0)</f>
        <v>107442.48</v>
      </c>
      <c r="F50" s="68">
        <f>IFERROR('[1]Data Sheet'!E60,0)</f>
        <v>114871.75</v>
      </c>
      <c r="G50" s="68">
        <f>IFERROR('[1]Data Sheet'!F60,0)</f>
        <v>135914.49</v>
      </c>
      <c r="H50" s="68">
        <f>IFERROR('[1]Data Sheet'!G60,0)</f>
        <v>142813.43</v>
      </c>
      <c r="I50" s="68">
        <f>IFERROR('[1]Data Sheet'!H60,0)</f>
        <v>139348.59</v>
      </c>
      <c r="J50" s="68">
        <f>IFERROR('[1]Data Sheet'!I60,0)</f>
        <v>133180.72</v>
      </c>
      <c r="K50" s="68">
        <f>IFERROR('[1]Data Sheet'!J60,0)</f>
        <v>144192.62</v>
      </c>
      <c r="L50" s="68">
        <f>IFERROR('[1]Data Sheet'!K60,0)</f>
        <v>138051.22</v>
      </c>
    </row>
    <row r="51" spans="2:12" outlineLevel="1" x14ac:dyDescent="0.25">
      <c r="B51" s="85" t="s">
        <v>173</v>
      </c>
      <c r="C51" s="86">
        <f>IFERROR('[1]Data Sheet'!B61,0)</f>
        <v>168330.03</v>
      </c>
      <c r="D51" s="86">
        <f>IFERROR('[1]Data Sheet'!C61,0)</f>
        <v>218425.99</v>
      </c>
      <c r="E51" s="86">
        <f>IFERROR('[1]Data Sheet'!D61,0)</f>
        <v>237314.79</v>
      </c>
      <c r="F51" s="86">
        <f>IFERROR('[1]Data Sheet'!E61,0)</f>
        <v>263184.12</v>
      </c>
      <c r="G51" s="86">
        <f>IFERROR('[1]Data Sheet'!F61,0)</f>
        <v>272580.36</v>
      </c>
      <c r="H51" s="86">
        <f>IFERROR('[1]Data Sheet'!G61,0)</f>
        <v>327191.81</v>
      </c>
      <c r="I51" s="86">
        <f>IFERROR('[1]Data Sheet'!H61,0)</f>
        <v>305703.49</v>
      </c>
      <c r="J51" s="86">
        <f>IFERROR('[1]Data Sheet'!I61,0)</f>
        <v>320179.39</v>
      </c>
      <c r="K51" s="86">
        <f>IFERROR('[1]Data Sheet'!J61,0)</f>
        <v>341569.91</v>
      </c>
      <c r="L51" s="86">
        <f>IFERROR('[1]Data Sheet'!K61,0)</f>
        <v>329061.49</v>
      </c>
    </row>
    <row r="52" spans="2:12" outlineLevel="1" x14ac:dyDescent="0.25">
      <c r="B52" s="82"/>
    </row>
    <row r="53" spans="2:12" outlineLevel="1" x14ac:dyDescent="0.25">
      <c r="B53" s="58" t="s">
        <v>252</v>
      </c>
      <c r="C53" s="68">
        <f>IFERROR('[1]Data Sheet'!B62,0)</f>
        <v>55511.73</v>
      </c>
      <c r="D53" s="68">
        <f>IFERROR('[1]Data Sheet'!C62,0)</f>
        <v>69091.67</v>
      </c>
      <c r="E53" s="68">
        <f>IFERROR('[1]Data Sheet'!D62,0)</f>
        <v>88479.49</v>
      </c>
      <c r="F53" s="68">
        <f>IFERROR('[1]Data Sheet'!E62,0)</f>
        <v>107231.76</v>
      </c>
      <c r="G53" s="68">
        <f>IFERROR('[1]Data Sheet'!F62,0)</f>
        <v>95944.08</v>
      </c>
      <c r="H53" s="68">
        <f>IFERROR('[1]Data Sheet'!G62,0)</f>
        <v>121413.86</v>
      </c>
      <c r="I53" s="68">
        <f>IFERROR('[1]Data Sheet'!H62,0)</f>
        <v>111234.47</v>
      </c>
      <c r="J53" s="68">
        <f>IFERROR('[1]Data Sheet'!I62,0)</f>
        <v>127107.14</v>
      </c>
      <c r="K53" s="68">
        <f>IFERROR('[1]Data Sheet'!J62,0)</f>
        <v>138707.60999999999</v>
      </c>
      <c r="L53" s="68">
        <f>IFERROR('[1]Data Sheet'!K62,0)</f>
        <v>138855.45000000001</v>
      </c>
    </row>
    <row r="54" spans="2:12" outlineLevel="1" x14ac:dyDescent="0.25">
      <c r="B54" s="58" t="s">
        <v>143</v>
      </c>
      <c r="C54" s="68">
        <f>IFERROR('[1]Data Sheet'!B63,0)</f>
        <v>18453.55</v>
      </c>
      <c r="D54" s="68">
        <f>IFERROR('[1]Data Sheet'!C63,0)</f>
        <v>33262.559999999998</v>
      </c>
      <c r="E54" s="68">
        <f>IFERROR('[1]Data Sheet'!D63,0)</f>
        <v>28640.09</v>
      </c>
      <c r="F54" s="68">
        <f>IFERROR('[1]Data Sheet'!E63,0)</f>
        <v>25918.94</v>
      </c>
      <c r="G54" s="68">
        <f>IFERROR('[1]Data Sheet'!F63,0)</f>
        <v>33698.839999999997</v>
      </c>
      <c r="H54" s="68">
        <f>IFERROR('[1]Data Sheet'!G63,0)</f>
        <v>40033.5</v>
      </c>
      <c r="I54" s="68">
        <f>IFERROR('[1]Data Sheet'!H63,0)</f>
        <v>31883.84</v>
      </c>
      <c r="J54" s="68">
        <f>IFERROR('[1]Data Sheet'!I63,0)</f>
        <v>35622.29</v>
      </c>
      <c r="K54" s="68">
        <f>IFERROR('[1]Data Sheet'!J63,0)</f>
        <v>20963.93</v>
      </c>
      <c r="L54" s="68">
        <f>IFERROR('[1]Data Sheet'!K63,0)</f>
        <v>10251.09</v>
      </c>
    </row>
    <row r="55" spans="2:12" outlineLevel="1" x14ac:dyDescent="0.25">
      <c r="B55" s="58" t="s">
        <v>144</v>
      </c>
      <c r="C55" s="68">
        <f>IFERROR('[1]Data Sheet'!B64,0)</f>
        <v>8764.73</v>
      </c>
      <c r="D55" s="68">
        <f>IFERROR('[1]Data Sheet'!C64,0)</f>
        <v>10686.67</v>
      </c>
      <c r="E55" s="68">
        <f>IFERROR('[1]Data Sheet'!D64,0)</f>
        <v>15336.74</v>
      </c>
      <c r="F55" s="68">
        <f>IFERROR('[1]Data Sheet'!E64,0)</f>
        <v>23767.02</v>
      </c>
      <c r="G55" s="68">
        <f>IFERROR('[1]Data Sheet'!F64,0)</f>
        <v>20337.919999999998</v>
      </c>
      <c r="H55" s="68">
        <f>IFERROR('[1]Data Sheet'!G64,0)</f>
        <v>20812.75</v>
      </c>
      <c r="I55" s="68">
        <f>IFERROR('[1]Data Sheet'!H64,0)</f>
        <v>15770.72</v>
      </c>
      <c r="J55" s="68">
        <f>IFERROR('[1]Data Sheet'!I64,0)</f>
        <v>16308.48</v>
      </c>
      <c r="K55" s="68">
        <f>IFERROR('[1]Data Sheet'!J64,0)</f>
        <v>24620.28</v>
      </c>
      <c r="L55" s="68">
        <f>IFERROR('[1]Data Sheet'!K64,0)</f>
        <v>29379.53</v>
      </c>
    </row>
    <row r="56" spans="2:12" outlineLevel="1" x14ac:dyDescent="0.25">
      <c r="B56" s="58" t="s">
        <v>145</v>
      </c>
      <c r="C56" s="68">
        <f>IFERROR('[1]Data Sheet'!B65-SUM('[1]Data Sheet'!B67:B69),0)</f>
        <v>32488.780000000006</v>
      </c>
      <c r="D56" s="68">
        <f>IFERROR('[1]Data Sheet'!C65-SUM('[1]Data Sheet'!C67:C69),0)</f>
        <v>37828.179999999993</v>
      </c>
      <c r="E56" s="68">
        <f>IFERROR('[1]Data Sheet'!D65-SUM('[1]Data Sheet'!D67:D69),0)</f>
        <v>30891.17</v>
      </c>
      <c r="F56" s="68">
        <f>IFERROR('[1]Data Sheet'!E65-SUM('[1]Data Sheet'!E67:E69),0)</f>
        <v>29579.359999999986</v>
      </c>
      <c r="G56" s="68">
        <f>IFERROR('[1]Data Sheet'!F65-SUM('[1]Data Sheet'!F67:F69),0)</f>
        <v>37360.780000000013</v>
      </c>
      <c r="H56" s="68">
        <f>IFERROR('[1]Data Sheet'!G65-SUM('[1]Data Sheet'!G67:G69),0)</f>
        <v>48286.860000000015</v>
      </c>
      <c r="I56" s="68">
        <f>IFERROR('[1]Data Sheet'!H65-SUM('[1]Data Sheet'!H67:H69),0)</f>
        <v>56155.739999999991</v>
      </c>
      <c r="J56" s="68">
        <f>IFERROR('[1]Data Sheet'!I65-SUM('[1]Data Sheet'!I67:I69),0)</f>
        <v>58784.94</v>
      </c>
      <c r="K56" s="68">
        <f>IFERROR('[1]Data Sheet'!J65-SUM('[1]Data Sheet'!J67:J69),0)</f>
        <v>61717.959999999992</v>
      </c>
      <c r="L56" s="68">
        <f>IFERROR('[1]Data Sheet'!K65-SUM('[1]Data Sheet'!K67:K69),0)</f>
        <v>62223.770000000019</v>
      </c>
    </row>
    <row r="57" spans="2:12" outlineLevel="1" x14ac:dyDescent="0.25">
      <c r="B57" s="85" t="s">
        <v>253</v>
      </c>
      <c r="C57" s="86">
        <f>IFERROR(SUM(C53:C56),0)</f>
        <v>115218.79000000001</v>
      </c>
      <c r="D57" s="86">
        <f t="shared" ref="D57:L57" si="18">IFERROR(SUM(D53:D56),0)</f>
        <v>150869.07999999999</v>
      </c>
      <c r="E57" s="86">
        <f t="shared" si="18"/>
        <v>163347.49</v>
      </c>
      <c r="F57" s="86">
        <f t="shared" si="18"/>
        <v>186497.07999999996</v>
      </c>
      <c r="G57" s="86">
        <f t="shared" si="18"/>
        <v>187341.62</v>
      </c>
      <c r="H57" s="86">
        <f t="shared" si="18"/>
        <v>230546.97</v>
      </c>
      <c r="I57" s="86">
        <f t="shared" si="18"/>
        <v>215044.77</v>
      </c>
      <c r="J57" s="86">
        <f t="shared" si="18"/>
        <v>237822.85</v>
      </c>
      <c r="K57" s="86">
        <f t="shared" si="18"/>
        <v>246009.77999999997</v>
      </c>
      <c r="L57" s="86">
        <f t="shared" si="18"/>
        <v>240709.84000000003</v>
      </c>
    </row>
    <row r="58" spans="2:12" outlineLevel="1" x14ac:dyDescent="0.25">
      <c r="B58" s="82"/>
    </row>
    <row r="59" spans="2:12" outlineLevel="1" x14ac:dyDescent="0.25">
      <c r="B59" s="58" t="s">
        <v>146</v>
      </c>
      <c r="C59" s="68">
        <f>IFERROR('[1]Data Sheet'!B67,0)</f>
        <v>10959.6</v>
      </c>
      <c r="D59" s="68">
        <f>IFERROR('[1]Data Sheet'!C67,0)</f>
        <v>10574.23</v>
      </c>
      <c r="E59" s="68">
        <f>IFERROR('[1]Data Sheet'!D67,0)</f>
        <v>12579.2</v>
      </c>
      <c r="F59" s="68">
        <f>IFERROR('[1]Data Sheet'!E67,0)</f>
        <v>13570.91</v>
      </c>
      <c r="G59" s="68">
        <f>IFERROR('[1]Data Sheet'!F67,0)</f>
        <v>14075.55</v>
      </c>
      <c r="H59" s="68">
        <f>IFERROR('[1]Data Sheet'!G67,0)</f>
        <v>19893.3</v>
      </c>
      <c r="I59" s="68">
        <f>IFERROR('[1]Data Sheet'!H67,0)</f>
        <v>18996.169999999998</v>
      </c>
      <c r="J59" s="68">
        <f>IFERROR('[1]Data Sheet'!I67,0)</f>
        <v>11172.69</v>
      </c>
      <c r="K59" s="68">
        <f>IFERROR('[1]Data Sheet'!J67,0)</f>
        <v>12679.08</v>
      </c>
      <c r="L59" s="68">
        <f>IFERROR('[1]Data Sheet'!K67,0)</f>
        <v>12442.12</v>
      </c>
    </row>
    <row r="60" spans="2:12" outlineLevel="1" x14ac:dyDescent="0.25">
      <c r="B60" s="58" t="s">
        <v>147</v>
      </c>
      <c r="C60" s="68">
        <f>IFERROR('[1]Data Sheet'!B68,0)</f>
        <v>21036.82</v>
      </c>
      <c r="D60" s="68">
        <f>IFERROR('[1]Data Sheet'!C68,0)</f>
        <v>27270.89</v>
      </c>
      <c r="E60" s="68">
        <f>IFERROR('[1]Data Sheet'!D68,0)</f>
        <v>29272.34</v>
      </c>
      <c r="F60" s="68">
        <f>IFERROR('[1]Data Sheet'!E68,0)</f>
        <v>32655.73</v>
      </c>
      <c r="G60" s="68">
        <f>IFERROR('[1]Data Sheet'!F68,0)</f>
        <v>35085.31</v>
      </c>
      <c r="H60" s="68">
        <f>IFERROR('[1]Data Sheet'!G68,0)</f>
        <v>42137.63</v>
      </c>
      <c r="I60" s="68">
        <f>IFERROR('[1]Data Sheet'!H68,0)</f>
        <v>39013.730000000003</v>
      </c>
      <c r="J60" s="68">
        <f>IFERROR('[1]Data Sheet'!I68,0)</f>
        <v>37456.879999999997</v>
      </c>
      <c r="K60" s="68">
        <f>IFERROR('[1]Data Sheet'!J68,0)</f>
        <v>36088.589999999997</v>
      </c>
      <c r="L60" s="68">
        <f>IFERROR('[1]Data Sheet'!K68,0)</f>
        <v>35240.339999999997</v>
      </c>
    </row>
    <row r="61" spans="2:12" outlineLevel="1" x14ac:dyDescent="0.25">
      <c r="B61" s="58" t="s">
        <v>148</v>
      </c>
      <c r="C61" s="68">
        <f>IFERROR('[1]Data Sheet'!B69,0)</f>
        <v>21114.82</v>
      </c>
      <c r="D61" s="68">
        <f>IFERROR('[1]Data Sheet'!C69,0)</f>
        <v>29711.79</v>
      </c>
      <c r="E61" s="68">
        <f>IFERROR('[1]Data Sheet'!D69,0)</f>
        <v>32115.759999999998</v>
      </c>
      <c r="F61" s="68">
        <f>IFERROR('[1]Data Sheet'!E69,0)</f>
        <v>30460.400000000001</v>
      </c>
      <c r="G61" s="68">
        <f>IFERROR('[1]Data Sheet'!F69,0)</f>
        <v>36077.879999999997</v>
      </c>
      <c r="H61" s="68">
        <f>IFERROR('[1]Data Sheet'!G69,0)</f>
        <v>34613.910000000003</v>
      </c>
      <c r="I61" s="68">
        <f>IFERROR('[1]Data Sheet'!H69,0)</f>
        <v>32648.82</v>
      </c>
      <c r="J61" s="68">
        <f>IFERROR('[1]Data Sheet'!I69,0)</f>
        <v>33726.97</v>
      </c>
      <c r="K61" s="68">
        <f>IFERROR('[1]Data Sheet'!J69,0)</f>
        <v>46792.46</v>
      </c>
      <c r="L61" s="68">
        <f>IFERROR('[1]Data Sheet'!K69,0)</f>
        <v>40669.19</v>
      </c>
    </row>
    <row r="62" spans="2:12" outlineLevel="1" x14ac:dyDescent="0.25">
      <c r="B62" s="85" t="s">
        <v>219</v>
      </c>
      <c r="C62" s="86">
        <f>IFERROR(SUM(C59:C61),0)</f>
        <v>53111.24</v>
      </c>
      <c r="D62" s="86">
        <f t="shared" ref="D62:L62" si="19">IFERROR(SUM(D59:D61),0)</f>
        <v>67556.91</v>
      </c>
      <c r="E62" s="86">
        <f t="shared" si="19"/>
        <v>73967.3</v>
      </c>
      <c r="F62" s="86">
        <f t="shared" si="19"/>
        <v>76687.040000000008</v>
      </c>
      <c r="G62" s="86">
        <f t="shared" si="19"/>
        <v>85238.739999999991</v>
      </c>
      <c r="H62" s="86">
        <f t="shared" si="19"/>
        <v>96644.84</v>
      </c>
      <c r="I62" s="86">
        <f t="shared" si="19"/>
        <v>90658.72</v>
      </c>
      <c r="J62" s="86">
        <f t="shared" si="19"/>
        <v>82356.540000000008</v>
      </c>
      <c r="K62" s="86">
        <f t="shared" si="19"/>
        <v>95560.13</v>
      </c>
      <c r="L62" s="86">
        <f t="shared" si="19"/>
        <v>88351.65</v>
      </c>
    </row>
    <row r="63" spans="2:12" outlineLevel="1" x14ac:dyDescent="0.25">
      <c r="C63" s="68"/>
      <c r="D63" s="68"/>
      <c r="E63" s="68"/>
      <c r="F63" s="68"/>
      <c r="G63" s="68"/>
      <c r="H63" s="68"/>
      <c r="I63" s="68"/>
      <c r="J63" s="68"/>
      <c r="K63" s="68"/>
      <c r="L63" s="68"/>
    </row>
    <row r="64" spans="2:12" outlineLevel="1" x14ac:dyDescent="0.25">
      <c r="B64" s="85" t="s">
        <v>192</v>
      </c>
      <c r="C64" s="86">
        <f>IFERROR(C62+C57,0)</f>
        <v>168330.03</v>
      </c>
      <c r="D64" s="86">
        <f t="shared" ref="D64:L64" si="20">IFERROR(D62+D57,0)</f>
        <v>218425.99</v>
      </c>
      <c r="E64" s="86">
        <f t="shared" si="20"/>
        <v>237314.78999999998</v>
      </c>
      <c r="F64" s="86">
        <f t="shared" si="20"/>
        <v>263184.12</v>
      </c>
      <c r="G64" s="86">
        <f t="shared" si="20"/>
        <v>272580.36</v>
      </c>
      <c r="H64" s="86">
        <f t="shared" si="20"/>
        <v>327191.81</v>
      </c>
      <c r="I64" s="86">
        <f t="shared" si="20"/>
        <v>305703.49</v>
      </c>
      <c r="J64" s="86">
        <f t="shared" si="20"/>
        <v>320179.39</v>
      </c>
      <c r="K64" s="86">
        <f t="shared" si="20"/>
        <v>341569.91</v>
      </c>
      <c r="L64" s="86">
        <f t="shared" si="20"/>
        <v>329061.49</v>
      </c>
    </row>
    <row r="65" spans="1:13" outlineLevel="1" x14ac:dyDescent="0.25"/>
    <row r="66" spans="1:13" outlineLevel="1" x14ac:dyDescent="0.25">
      <c r="B66" s="84" t="s">
        <v>254</v>
      </c>
      <c r="C66" s="84" t="b">
        <f>C64=C51</f>
        <v>1</v>
      </c>
      <c r="D66" s="84" t="b">
        <f t="shared" ref="D66:L66" si="21">D64=D51</f>
        <v>1</v>
      </c>
      <c r="E66" s="84" t="b">
        <f t="shared" si="21"/>
        <v>1</v>
      </c>
      <c r="F66" s="84" t="b">
        <f t="shared" si="21"/>
        <v>1</v>
      </c>
      <c r="G66" s="84" t="b">
        <f t="shared" si="21"/>
        <v>1</v>
      </c>
      <c r="H66" s="84" t="b">
        <f t="shared" si="21"/>
        <v>1</v>
      </c>
      <c r="I66" s="84" t="b">
        <f t="shared" si="21"/>
        <v>1</v>
      </c>
      <c r="J66" s="84" t="b">
        <f t="shared" si="21"/>
        <v>1</v>
      </c>
      <c r="K66" s="84" t="b">
        <f t="shared" si="21"/>
        <v>1</v>
      </c>
      <c r="L66" s="84" t="b">
        <f t="shared" si="21"/>
        <v>1</v>
      </c>
    </row>
    <row r="68" spans="1:13" x14ac:dyDescent="0.25">
      <c r="A68" s="58" t="s">
        <v>223</v>
      </c>
      <c r="B68" s="76" t="s">
        <v>255</v>
      </c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</row>
    <row r="69" spans="1:13" x14ac:dyDescent="0.25">
      <c r="B69" s="82"/>
    </row>
    <row r="70" spans="1:13" x14ac:dyDescent="0.25">
      <c r="B70" s="58" t="s">
        <v>256</v>
      </c>
      <c r="C70" s="68">
        <v>22159</v>
      </c>
      <c r="D70" s="68">
        <v>40308</v>
      </c>
      <c r="E70" s="68">
        <v>31860</v>
      </c>
      <c r="F70" s="68">
        <v>39212</v>
      </c>
      <c r="G70" s="68">
        <v>33454</v>
      </c>
      <c r="H70" s="68">
        <v>17423</v>
      </c>
      <c r="I70" s="68">
        <v>11671</v>
      </c>
      <c r="J70" s="68">
        <v>31698</v>
      </c>
      <c r="K70" s="68">
        <v>28907</v>
      </c>
      <c r="L70" s="68">
        <v>3808</v>
      </c>
    </row>
    <row r="71" spans="1:13" x14ac:dyDescent="0.25">
      <c r="C71" s="68"/>
      <c r="D71" s="68"/>
      <c r="E71" s="68"/>
      <c r="F71" s="68"/>
      <c r="G71" s="68"/>
      <c r="H71" s="68"/>
      <c r="I71" s="68"/>
      <c r="J71" s="68"/>
      <c r="K71" s="68"/>
      <c r="L71" s="68"/>
    </row>
    <row r="72" spans="1:13" x14ac:dyDescent="0.25">
      <c r="B72" s="58" t="s">
        <v>257</v>
      </c>
      <c r="C72" s="68">
        <v>-22969</v>
      </c>
      <c r="D72" s="68">
        <v>-27991</v>
      </c>
      <c r="E72" s="68">
        <v>-36233</v>
      </c>
      <c r="F72" s="68">
        <v>-36694</v>
      </c>
      <c r="G72" s="68">
        <v>-39572</v>
      </c>
      <c r="H72" s="68">
        <v>-25140</v>
      </c>
      <c r="I72" s="68">
        <v>-20879</v>
      </c>
      <c r="J72" s="68">
        <v>-33116</v>
      </c>
      <c r="K72" s="68">
        <v>-25671</v>
      </c>
      <c r="L72" s="68">
        <v>-4442</v>
      </c>
    </row>
    <row r="73" spans="1:13" x14ac:dyDescent="0.25">
      <c r="C73" s="68"/>
      <c r="D73" s="68"/>
      <c r="E73" s="68"/>
      <c r="F73" s="68"/>
      <c r="G73" s="68"/>
      <c r="H73" s="68"/>
      <c r="I73" s="68"/>
      <c r="J73" s="68"/>
      <c r="K73" s="68"/>
      <c r="L73" s="68"/>
    </row>
    <row r="74" spans="1:13" x14ac:dyDescent="0.25">
      <c r="B74" s="58" t="s">
        <v>258</v>
      </c>
      <c r="C74" s="68">
        <v>-1694</v>
      </c>
      <c r="D74" s="68">
        <v>-3884</v>
      </c>
      <c r="E74" s="68">
        <v>5203</v>
      </c>
      <c r="F74" s="68">
        <v>-3796</v>
      </c>
      <c r="G74" s="68">
        <v>6206</v>
      </c>
      <c r="H74" s="68">
        <v>2011</v>
      </c>
      <c r="I74" s="68">
        <v>8830</v>
      </c>
      <c r="J74" s="68">
        <v>3389</v>
      </c>
      <c r="K74" s="68">
        <v>9905</v>
      </c>
      <c r="L74" s="68">
        <v>-3379</v>
      </c>
    </row>
    <row r="75" spans="1:13" x14ac:dyDescent="0.25">
      <c r="C75" s="68"/>
      <c r="D75" s="68"/>
      <c r="E75" s="68"/>
      <c r="F75" s="68"/>
      <c r="G75" s="68"/>
      <c r="H75" s="68"/>
      <c r="I75" s="68"/>
      <c r="J75" s="68"/>
      <c r="K75" s="68"/>
      <c r="L75" s="68"/>
    </row>
    <row r="76" spans="1:13" x14ac:dyDescent="0.25">
      <c r="B76" s="82" t="s">
        <v>156</v>
      </c>
      <c r="C76" s="83">
        <v>-2504</v>
      </c>
      <c r="D76" s="83">
        <v>8433</v>
      </c>
      <c r="E76" s="83">
        <v>830</v>
      </c>
      <c r="F76" s="83">
        <v>-1278</v>
      </c>
      <c r="G76" s="83">
        <v>88</v>
      </c>
      <c r="H76" s="83">
        <v>-5706</v>
      </c>
      <c r="I76" s="83">
        <v>-378</v>
      </c>
      <c r="J76" s="83">
        <v>1971</v>
      </c>
      <c r="K76" s="83">
        <v>13141</v>
      </c>
      <c r="L76" s="83">
        <v>-4013</v>
      </c>
    </row>
    <row r="77" spans="1:13" x14ac:dyDescent="0.25">
      <c r="C77" s="68"/>
      <c r="D77" s="68"/>
      <c r="E77" s="68"/>
      <c r="F77" s="68"/>
      <c r="G77" s="68"/>
      <c r="H77" s="68"/>
      <c r="I77" s="68"/>
      <c r="J77" s="68"/>
      <c r="K77" s="68"/>
      <c r="L77" s="68"/>
    </row>
    <row r="78" spans="1:13" x14ac:dyDescent="0.25">
      <c r="B78" s="82"/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 x14ac:dyDescent="0.25">
      <c r="D79" s="68"/>
    </row>
    <row r="80" spans="1:13" x14ac:dyDescent="0.25">
      <c r="B80" s="82"/>
    </row>
    <row r="81" spans="2:12" x14ac:dyDescent="0.25">
      <c r="C81" s="68"/>
      <c r="D81" s="68"/>
      <c r="E81" s="68"/>
      <c r="F81" s="68"/>
      <c r="G81" s="68"/>
      <c r="H81" s="68"/>
      <c r="I81" s="68"/>
      <c r="J81" s="68"/>
      <c r="K81" s="68"/>
      <c r="L81" s="68"/>
    </row>
    <row r="82" spans="2:12" x14ac:dyDescent="0.25">
      <c r="C82" s="68"/>
      <c r="D82" s="68"/>
      <c r="E82" s="68"/>
      <c r="F82" s="68"/>
      <c r="G82" s="68"/>
      <c r="H82" s="68"/>
      <c r="I82" s="68"/>
      <c r="J82" s="68"/>
      <c r="K82" s="68"/>
      <c r="L82" s="68"/>
    </row>
    <row r="83" spans="2:12" x14ac:dyDescent="0.25">
      <c r="C83" s="68"/>
      <c r="D83" s="68"/>
      <c r="E83" s="68"/>
      <c r="F83" s="68"/>
      <c r="G83" s="68"/>
      <c r="H83" s="68"/>
      <c r="I83" s="68"/>
      <c r="J83" s="68"/>
      <c r="K83" s="68"/>
      <c r="L83" s="68"/>
    </row>
    <row r="84" spans="2:12" x14ac:dyDescent="0.25">
      <c r="C84" s="68"/>
      <c r="D84" s="68"/>
      <c r="E84" s="68"/>
      <c r="F84" s="68"/>
      <c r="G84" s="68"/>
      <c r="H84" s="68"/>
      <c r="I84" s="68"/>
      <c r="J84" s="68"/>
      <c r="K84" s="68"/>
      <c r="L84" s="68"/>
    </row>
    <row r="85" spans="2:12" x14ac:dyDescent="0.25">
      <c r="C85" s="68"/>
      <c r="D85" s="68"/>
      <c r="E85" s="68"/>
      <c r="F85" s="68"/>
      <c r="G85" s="68"/>
      <c r="H85" s="68"/>
      <c r="I85" s="68"/>
      <c r="J85" s="68"/>
      <c r="K85" s="68"/>
      <c r="L85" s="68"/>
    </row>
    <row r="86" spans="2:12" x14ac:dyDescent="0.25">
      <c r="C86" s="68"/>
      <c r="D86" s="68"/>
      <c r="E86" s="68"/>
      <c r="F86" s="68"/>
      <c r="G86" s="68"/>
      <c r="H86" s="68"/>
      <c r="I86" s="68"/>
      <c r="J86" s="68"/>
      <c r="K86" s="68"/>
      <c r="L86" s="68"/>
    </row>
    <row r="87" spans="2:12" x14ac:dyDescent="0.25">
      <c r="C87" s="68"/>
      <c r="D87" s="68"/>
      <c r="E87" s="68"/>
      <c r="F87" s="68"/>
      <c r="G87" s="68"/>
      <c r="H87" s="68"/>
      <c r="I87" s="68"/>
      <c r="J87" s="68"/>
      <c r="K87" s="68"/>
      <c r="L87" s="68"/>
    </row>
    <row r="88" spans="2:12" x14ac:dyDescent="0.25">
      <c r="C88" s="68"/>
      <c r="D88" s="68"/>
      <c r="E88" s="68"/>
      <c r="F88" s="68"/>
      <c r="G88" s="68"/>
      <c r="H88" s="68"/>
      <c r="I88" s="68"/>
      <c r="J88" s="68"/>
      <c r="K88" s="68"/>
      <c r="L88" s="68"/>
    </row>
    <row r="89" spans="2:12" x14ac:dyDescent="0.25">
      <c r="C89" s="68"/>
      <c r="D89" s="68"/>
      <c r="E89" s="68"/>
      <c r="F89" s="68"/>
      <c r="G89" s="68"/>
      <c r="H89" s="68"/>
      <c r="I89" s="68"/>
      <c r="J89" s="68"/>
      <c r="K89" s="68"/>
      <c r="L89" s="68"/>
    </row>
    <row r="90" spans="2:12" x14ac:dyDescent="0.25">
      <c r="C90" s="68"/>
      <c r="D90" s="68"/>
      <c r="E90" s="68"/>
      <c r="F90" s="68"/>
      <c r="G90" s="68"/>
      <c r="H90" s="68"/>
      <c r="I90" s="68"/>
      <c r="J90" s="68"/>
      <c r="K90" s="68"/>
      <c r="L90" s="68"/>
    </row>
    <row r="91" spans="2:12" x14ac:dyDescent="0.25">
      <c r="C91" s="68"/>
      <c r="D91" s="68"/>
      <c r="E91" s="68"/>
      <c r="F91" s="68"/>
      <c r="G91" s="68"/>
      <c r="H91" s="68"/>
      <c r="I91" s="68"/>
      <c r="J91" s="68"/>
      <c r="K91" s="68"/>
      <c r="L91" s="68"/>
    </row>
    <row r="92" spans="2:12" x14ac:dyDescent="0.25">
      <c r="C92" s="68"/>
      <c r="D92" s="68"/>
      <c r="E92" s="68"/>
      <c r="F92" s="68"/>
      <c r="G92" s="68"/>
      <c r="H92" s="68"/>
      <c r="I92" s="68"/>
      <c r="J92" s="68"/>
      <c r="K92" s="68"/>
      <c r="L92" s="68"/>
    </row>
    <row r="93" spans="2:12" x14ac:dyDescent="0.25">
      <c r="B93" s="82"/>
      <c r="C93" s="83"/>
      <c r="D93" s="83"/>
      <c r="E93" s="83"/>
      <c r="F93" s="83"/>
      <c r="G93" s="83"/>
      <c r="H93" s="83"/>
      <c r="I93" s="83"/>
      <c r="J93" s="83"/>
      <c r="K93" s="83"/>
      <c r="L93" s="83"/>
    </row>
    <row r="95" spans="2:12" x14ac:dyDescent="0.25">
      <c r="B95" s="82"/>
    </row>
    <row r="96" spans="2:12" x14ac:dyDescent="0.25">
      <c r="C96" s="68"/>
      <c r="D96" s="68"/>
      <c r="E96" s="68"/>
      <c r="F96" s="68"/>
      <c r="G96" s="68"/>
      <c r="H96" s="68"/>
      <c r="I96" s="68"/>
      <c r="J96" s="68"/>
      <c r="K96" s="68"/>
      <c r="L96" s="68"/>
    </row>
    <row r="97" spans="2:12" x14ac:dyDescent="0.25">
      <c r="C97" s="68"/>
      <c r="D97" s="68"/>
      <c r="E97" s="68"/>
      <c r="F97" s="68"/>
      <c r="G97" s="68"/>
      <c r="H97" s="68"/>
      <c r="I97" s="68"/>
      <c r="J97" s="68"/>
      <c r="K97" s="68"/>
      <c r="L97" s="68"/>
    </row>
    <row r="98" spans="2:12" x14ac:dyDescent="0.25">
      <c r="C98" s="68"/>
      <c r="D98" s="68"/>
      <c r="E98" s="68"/>
      <c r="F98" s="68"/>
      <c r="G98" s="68"/>
      <c r="H98" s="68"/>
      <c r="I98" s="68"/>
      <c r="J98" s="68"/>
      <c r="K98" s="68"/>
      <c r="L98" s="68"/>
    </row>
    <row r="99" spans="2:12" x14ac:dyDescent="0.25">
      <c r="C99" s="68"/>
      <c r="D99" s="68"/>
      <c r="E99" s="68"/>
      <c r="F99" s="68"/>
      <c r="G99" s="68"/>
      <c r="H99" s="68"/>
      <c r="I99" s="68"/>
      <c r="J99" s="68"/>
      <c r="K99" s="68"/>
      <c r="L99" s="68"/>
    </row>
    <row r="100" spans="2:12" x14ac:dyDescent="0.25">
      <c r="C100" s="68"/>
      <c r="D100" s="68"/>
      <c r="E100" s="68"/>
      <c r="F100" s="68"/>
      <c r="G100" s="68"/>
      <c r="H100" s="68"/>
      <c r="I100" s="68"/>
      <c r="J100" s="68"/>
      <c r="K100" s="68"/>
      <c r="L100" s="68"/>
    </row>
    <row r="101" spans="2:12" x14ac:dyDescent="0.25">
      <c r="C101" s="68"/>
      <c r="D101" s="68"/>
      <c r="E101" s="68"/>
      <c r="F101" s="68"/>
      <c r="G101" s="68"/>
      <c r="H101" s="68"/>
      <c r="I101" s="68"/>
      <c r="J101" s="68"/>
      <c r="K101" s="68"/>
      <c r="L101" s="68"/>
    </row>
    <row r="102" spans="2:12" x14ac:dyDescent="0.25">
      <c r="C102" s="68"/>
      <c r="D102" s="68"/>
      <c r="E102" s="68"/>
      <c r="F102" s="68"/>
      <c r="G102" s="68"/>
      <c r="H102" s="68"/>
      <c r="I102" s="68"/>
      <c r="J102" s="68"/>
      <c r="K102" s="68"/>
      <c r="L102" s="68"/>
    </row>
    <row r="103" spans="2:12" x14ac:dyDescent="0.25">
      <c r="C103" s="68"/>
      <c r="D103" s="68"/>
      <c r="E103" s="68"/>
      <c r="F103" s="68"/>
      <c r="G103" s="68"/>
      <c r="H103" s="68"/>
      <c r="I103" s="68"/>
      <c r="J103" s="68"/>
      <c r="K103" s="68"/>
      <c r="L103" s="68"/>
    </row>
    <row r="104" spans="2:12" x14ac:dyDescent="0.25">
      <c r="C104" s="68"/>
      <c r="D104" s="68"/>
      <c r="E104" s="68"/>
      <c r="F104" s="68"/>
      <c r="G104" s="68"/>
      <c r="H104" s="68"/>
      <c r="I104" s="68"/>
      <c r="J104" s="68"/>
      <c r="K104" s="68"/>
      <c r="L104" s="68"/>
    </row>
    <row r="105" spans="2:12" x14ac:dyDescent="0.25">
      <c r="B105" s="82"/>
      <c r="C105" s="83"/>
      <c r="D105" s="83"/>
      <c r="E105" s="83"/>
      <c r="F105" s="83"/>
      <c r="G105" s="83"/>
      <c r="H105" s="83"/>
      <c r="I105" s="83"/>
      <c r="J105" s="83"/>
      <c r="K105" s="83"/>
      <c r="L105" s="83"/>
    </row>
    <row r="107" spans="2:12" x14ac:dyDescent="0.25">
      <c r="B107" s="82"/>
      <c r="C107" s="83"/>
      <c r="D107" s="83"/>
      <c r="E107" s="83"/>
      <c r="F107" s="83"/>
      <c r="G107" s="83"/>
      <c r="H107" s="83"/>
      <c r="I107" s="83"/>
      <c r="J107" s="83"/>
      <c r="K107" s="83"/>
      <c r="L107" s="83"/>
    </row>
  </sheetData>
  <mergeCells count="1">
    <mergeCell ref="B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302A5-E6C5-4483-900B-7C30D9B4B895}">
  <dimension ref="A1:N70"/>
  <sheetViews>
    <sheetView showGridLines="0" workbookViewId="0">
      <pane xSplit="1" ySplit="2" topLeftCell="B42" activePane="bottomRight" state="frozen"/>
      <selection pane="topRight" activeCell="B1" sqref="B1"/>
      <selection pane="bottomLeft" activeCell="A3" sqref="A3"/>
      <selection pane="bottomRight" activeCell="K70" sqref="K70"/>
    </sheetView>
  </sheetViews>
  <sheetFormatPr defaultRowHeight="15" x14ac:dyDescent="0.25"/>
  <cols>
    <col min="1" max="1" width="1.85546875" style="58" customWidth="1"/>
    <col min="2" max="2" width="28" bestFit="1" customWidth="1"/>
    <col min="3" max="7" width="8.140625" bestFit="1" customWidth="1"/>
  </cols>
  <sheetData>
    <row r="1" spans="2:14" s="58" customFormat="1" x14ac:dyDescent="0.25"/>
    <row r="2" spans="2:14" x14ac:dyDescent="0.25">
      <c r="B2" s="71" t="s">
        <v>160</v>
      </c>
      <c r="C2" s="72">
        <v>40603</v>
      </c>
      <c r="D2" s="72">
        <v>40969</v>
      </c>
      <c r="E2" s="72">
        <v>41334</v>
      </c>
      <c r="F2" s="72">
        <v>41699</v>
      </c>
      <c r="G2" s="72">
        <v>42064</v>
      </c>
      <c r="H2" s="72">
        <v>42430</v>
      </c>
      <c r="I2" s="72">
        <v>42795</v>
      </c>
      <c r="J2" s="72">
        <v>43160</v>
      </c>
      <c r="K2" s="72">
        <v>43525</v>
      </c>
      <c r="L2" s="72">
        <v>43891</v>
      </c>
      <c r="M2" s="72">
        <v>44256</v>
      </c>
      <c r="N2" s="72">
        <v>44621</v>
      </c>
    </row>
    <row r="4" spans="2:14" x14ac:dyDescent="0.25">
      <c r="B4" t="s">
        <v>161</v>
      </c>
      <c r="C4" s="92">
        <v>96</v>
      </c>
      <c r="D4" s="92">
        <v>96</v>
      </c>
      <c r="E4" s="92">
        <v>96</v>
      </c>
      <c r="F4" s="92">
        <v>96</v>
      </c>
      <c r="G4" s="92">
        <v>96</v>
      </c>
      <c r="H4" s="92">
        <v>96</v>
      </c>
      <c r="I4" s="92">
        <v>96</v>
      </c>
      <c r="J4" s="92">
        <v>96</v>
      </c>
      <c r="K4" s="92">
        <v>96</v>
      </c>
      <c r="L4" s="92">
        <v>96</v>
      </c>
      <c r="M4" s="92">
        <v>96</v>
      </c>
      <c r="N4" s="92">
        <v>96</v>
      </c>
    </row>
    <row r="5" spans="2:14" x14ac:dyDescent="0.25">
      <c r="B5" s="82" t="s">
        <v>139</v>
      </c>
      <c r="C5" s="92">
        <v>2092</v>
      </c>
      <c r="D5" s="92">
        <v>2653</v>
      </c>
      <c r="E5" s="92">
        <v>3288</v>
      </c>
      <c r="F5" s="92">
        <v>3943</v>
      </c>
      <c r="G5" s="92">
        <v>4646</v>
      </c>
      <c r="H5" s="92">
        <v>6429</v>
      </c>
      <c r="I5" s="92">
        <v>7508</v>
      </c>
      <c r="J5" s="92">
        <v>8314</v>
      </c>
      <c r="K5" s="92">
        <v>9375</v>
      </c>
      <c r="L5" s="92">
        <v>10034</v>
      </c>
      <c r="M5" s="92">
        <v>12710</v>
      </c>
      <c r="N5" s="92">
        <v>13716</v>
      </c>
    </row>
    <row r="6" spans="2:14" x14ac:dyDescent="0.25">
      <c r="B6" s="82" t="s">
        <v>162</v>
      </c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</row>
    <row r="7" spans="2:14" x14ac:dyDescent="0.25">
      <c r="B7" t="s">
        <v>163</v>
      </c>
      <c r="C7" s="92">
        <v>58</v>
      </c>
      <c r="D7" s="92">
        <v>55</v>
      </c>
      <c r="E7" s="92">
        <v>47</v>
      </c>
      <c r="F7" s="92">
        <v>41</v>
      </c>
      <c r="G7" s="92">
        <v>78</v>
      </c>
      <c r="H7" s="92">
        <v>73</v>
      </c>
      <c r="I7" s="92">
        <v>41</v>
      </c>
      <c r="J7" s="92">
        <v>28</v>
      </c>
      <c r="K7" s="92">
        <v>19</v>
      </c>
      <c r="L7" s="92">
        <v>19</v>
      </c>
      <c r="M7" s="92">
        <v>15</v>
      </c>
      <c r="N7" s="92">
        <v>45</v>
      </c>
    </row>
    <row r="8" spans="2:14" x14ac:dyDescent="0.25">
      <c r="B8" t="s">
        <v>164</v>
      </c>
      <c r="C8" s="92">
        <v>171</v>
      </c>
      <c r="D8" s="92">
        <v>280</v>
      </c>
      <c r="E8" s="92">
        <v>190</v>
      </c>
      <c r="F8" s="92">
        <v>199</v>
      </c>
      <c r="G8" s="92">
        <v>332</v>
      </c>
      <c r="H8" s="92">
        <v>231</v>
      </c>
      <c r="I8" s="92">
        <v>504</v>
      </c>
      <c r="J8" s="92">
        <v>492</v>
      </c>
      <c r="K8" s="92">
        <v>597</v>
      </c>
      <c r="L8" s="92">
        <v>321</v>
      </c>
      <c r="M8" s="92">
        <v>334</v>
      </c>
      <c r="N8" s="92">
        <v>731</v>
      </c>
    </row>
    <row r="9" spans="2:14" x14ac:dyDescent="0.25">
      <c r="B9" t="s">
        <v>165</v>
      </c>
      <c r="C9" s="92" t="s">
        <v>166</v>
      </c>
      <c r="D9" s="92" t="s">
        <v>166</v>
      </c>
      <c r="E9" s="92" t="s">
        <v>166</v>
      </c>
      <c r="F9" s="92" t="s">
        <v>166</v>
      </c>
      <c r="G9" s="92" t="s">
        <v>166</v>
      </c>
      <c r="H9" s="92" t="s">
        <v>166</v>
      </c>
      <c r="I9" s="92" t="s">
        <v>166</v>
      </c>
      <c r="J9" s="92" t="s">
        <v>166</v>
      </c>
      <c r="K9" s="92">
        <v>693</v>
      </c>
      <c r="L9" s="92">
        <v>764</v>
      </c>
      <c r="M9" s="92">
        <v>745</v>
      </c>
      <c r="N9" s="92">
        <v>811</v>
      </c>
    </row>
    <row r="10" spans="2:14" x14ac:dyDescent="0.25">
      <c r="B10" t="s">
        <v>167</v>
      </c>
      <c r="C10" s="92">
        <v>4</v>
      </c>
      <c r="D10" s="92">
        <v>6</v>
      </c>
      <c r="E10" s="92">
        <v>14</v>
      </c>
      <c r="F10" s="92">
        <v>9</v>
      </c>
      <c r="G10" s="92">
        <v>8</v>
      </c>
      <c r="H10" s="92">
        <v>20</v>
      </c>
      <c r="I10" s="92">
        <v>15</v>
      </c>
      <c r="J10" s="92">
        <v>13</v>
      </c>
      <c r="K10" s="92">
        <v>11</v>
      </c>
      <c r="L10" s="92">
        <v>15</v>
      </c>
      <c r="M10" s="92" t="s">
        <v>166</v>
      </c>
      <c r="N10" s="92" t="s">
        <v>166</v>
      </c>
    </row>
    <row r="11" spans="2:14" x14ac:dyDescent="0.25">
      <c r="B11" s="82" t="s">
        <v>168</v>
      </c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</row>
    <row r="12" spans="2:14" x14ac:dyDescent="0.25">
      <c r="B12" t="s">
        <v>169</v>
      </c>
      <c r="C12" s="92">
        <v>110</v>
      </c>
      <c r="D12" s="92">
        <v>137</v>
      </c>
      <c r="E12" s="92">
        <v>161</v>
      </c>
      <c r="F12" s="92">
        <v>246</v>
      </c>
      <c r="G12" s="92">
        <v>264</v>
      </c>
      <c r="H12" s="92">
        <v>384</v>
      </c>
      <c r="I12" s="92">
        <v>375</v>
      </c>
      <c r="J12" s="92">
        <v>328</v>
      </c>
      <c r="K12" s="92">
        <v>361</v>
      </c>
      <c r="L12" s="92">
        <v>404</v>
      </c>
      <c r="M12" s="92">
        <v>423</v>
      </c>
      <c r="N12" s="92">
        <v>388</v>
      </c>
    </row>
    <row r="13" spans="2:14" x14ac:dyDescent="0.25">
      <c r="B13" t="s">
        <v>170</v>
      </c>
      <c r="C13" s="92">
        <v>1087</v>
      </c>
      <c r="D13" s="92">
        <v>1333</v>
      </c>
      <c r="E13" s="92">
        <v>1442</v>
      </c>
      <c r="F13" s="92">
        <v>1746</v>
      </c>
      <c r="G13" s="92">
        <v>1549</v>
      </c>
      <c r="H13" s="92">
        <v>1565</v>
      </c>
      <c r="I13" s="92">
        <v>1923</v>
      </c>
      <c r="J13" s="92">
        <v>2160</v>
      </c>
      <c r="K13" s="92">
        <v>2394</v>
      </c>
      <c r="L13" s="92">
        <v>2137</v>
      </c>
      <c r="M13" s="92">
        <v>3379</v>
      </c>
      <c r="N13" s="92">
        <v>4164</v>
      </c>
    </row>
    <row r="14" spans="2:14" x14ac:dyDescent="0.25">
      <c r="B14" t="s">
        <v>171</v>
      </c>
      <c r="C14" s="92" t="s">
        <v>166</v>
      </c>
      <c r="D14" s="92" t="s">
        <v>166</v>
      </c>
      <c r="E14" s="92" t="s">
        <v>166</v>
      </c>
      <c r="F14" s="92" t="s">
        <v>166</v>
      </c>
      <c r="G14" s="92">
        <v>5</v>
      </c>
      <c r="H14" s="92">
        <v>12</v>
      </c>
      <c r="I14" s="92">
        <v>17</v>
      </c>
      <c r="J14" s="92">
        <v>16</v>
      </c>
      <c r="K14" s="92">
        <v>13</v>
      </c>
      <c r="L14" s="92">
        <v>29</v>
      </c>
      <c r="M14" s="92">
        <v>41</v>
      </c>
      <c r="N14" s="92">
        <v>76</v>
      </c>
    </row>
    <row r="15" spans="2:14" x14ac:dyDescent="0.25">
      <c r="B15" t="s">
        <v>172</v>
      </c>
      <c r="C15" s="93">
        <v>992</v>
      </c>
      <c r="D15" s="93">
        <v>1153</v>
      </c>
      <c r="E15" s="93">
        <v>1547</v>
      </c>
      <c r="F15" s="93">
        <v>1795</v>
      </c>
      <c r="G15" s="93">
        <v>1937</v>
      </c>
      <c r="H15" s="93">
        <v>1750</v>
      </c>
      <c r="I15" s="93">
        <v>1925</v>
      </c>
      <c r="J15" s="93">
        <v>2316</v>
      </c>
      <c r="K15" s="93">
        <v>2690</v>
      </c>
      <c r="L15" s="93">
        <v>2320</v>
      </c>
      <c r="M15" s="93">
        <v>2613</v>
      </c>
      <c r="N15" s="93">
        <v>2932</v>
      </c>
    </row>
    <row r="16" spans="2:14" x14ac:dyDescent="0.25">
      <c r="B16" s="91" t="s">
        <v>173</v>
      </c>
      <c r="C16" s="94">
        <v>4611</v>
      </c>
      <c r="D16" s="94">
        <v>5712</v>
      </c>
      <c r="E16" s="94">
        <v>6784</v>
      </c>
      <c r="F16" s="94">
        <v>8075</v>
      </c>
      <c r="G16" s="94">
        <v>8914</v>
      </c>
      <c r="H16" s="94">
        <v>10559</v>
      </c>
      <c r="I16" s="94">
        <v>12405</v>
      </c>
      <c r="J16" s="94">
        <v>13763</v>
      </c>
      <c r="K16" s="94">
        <v>16249</v>
      </c>
      <c r="L16" s="94">
        <v>16138</v>
      </c>
      <c r="M16" s="94">
        <v>20355</v>
      </c>
      <c r="N16" s="94">
        <v>22958</v>
      </c>
    </row>
    <row r="18" spans="2:14" x14ac:dyDescent="0.25">
      <c r="B18" s="82" t="s">
        <v>174</v>
      </c>
    </row>
    <row r="19" spans="2:14" x14ac:dyDescent="0.25">
      <c r="B19" t="s">
        <v>175</v>
      </c>
      <c r="C19" s="95">
        <v>220</v>
      </c>
      <c r="D19" s="95">
        <v>225</v>
      </c>
      <c r="E19" s="95">
        <v>238</v>
      </c>
      <c r="F19" s="95">
        <v>247</v>
      </c>
      <c r="G19" s="95">
        <v>251</v>
      </c>
      <c r="H19" s="95">
        <v>429</v>
      </c>
      <c r="I19" s="95">
        <v>408</v>
      </c>
      <c r="J19" s="95">
        <v>586</v>
      </c>
      <c r="K19" s="95">
        <v>605</v>
      </c>
      <c r="L19" s="95">
        <v>640</v>
      </c>
      <c r="M19" s="95">
        <v>644</v>
      </c>
      <c r="N19" s="95">
        <v>644</v>
      </c>
    </row>
    <row r="20" spans="2:14" x14ac:dyDescent="0.25">
      <c r="B20" t="s">
        <v>176</v>
      </c>
      <c r="C20" s="95">
        <v>553</v>
      </c>
      <c r="D20" s="95">
        <v>573</v>
      </c>
      <c r="E20" s="95">
        <v>874</v>
      </c>
      <c r="F20" s="95">
        <v>931</v>
      </c>
      <c r="G20" s="95">
        <v>962</v>
      </c>
      <c r="H20" s="95">
        <v>923</v>
      </c>
      <c r="I20" s="95">
        <v>931</v>
      </c>
      <c r="J20" s="95">
        <v>957</v>
      </c>
      <c r="K20" s="95">
        <v>2402</v>
      </c>
      <c r="L20" s="95">
        <v>2257</v>
      </c>
      <c r="M20" s="95">
        <v>2249</v>
      </c>
      <c r="N20" s="95">
        <v>2325</v>
      </c>
    </row>
    <row r="21" spans="2:14" x14ac:dyDescent="0.25">
      <c r="B21" t="s">
        <v>177</v>
      </c>
      <c r="C21" s="95">
        <v>1011</v>
      </c>
      <c r="D21" s="95">
        <v>1070</v>
      </c>
      <c r="E21" s="95">
        <v>1956</v>
      </c>
      <c r="F21" s="95">
        <v>2054</v>
      </c>
      <c r="G21" s="95">
        <v>2132</v>
      </c>
      <c r="H21" s="95">
        <v>1793</v>
      </c>
      <c r="I21" s="95">
        <v>1980</v>
      </c>
      <c r="J21" s="95">
        <v>2157</v>
      </c>
      <c r="K21" s="95">
        <v>4006</v>
      </c>
      <c r="L21" s="95">
        <v>4208</v>
      </c>
      <c r="M21" s="95">
        <v>4340</v>
      </c>
      <c r="N21" s="95">
        <v>4531</v>
      </c>
    </row>
    <row r="22" spans="2:14" x14ac:dyDescent="0.25">
      <c r="B22" t="s">
        <v>178</v>
      </c>
      <c r="C22" s="95">
        <v>66</v>
      </c>
      <c r="D22" s="95">
        <v>79</v>
      </c>
      <c r="E22" s="95">
        <v>137</v>
      </c>
      <c r="F22" s="95">
        <v>155</v>
      </c>
      <c r="G22" s="95">
        <v>171</v>
      </c>
      <c r="H22" s="95">
        <v>97</v>
      </c>
      <c r="I22" s="95">
        <v>119</v>
      </c>
      <c r="J22" s="95">
        <v>200</v>
      </c>
      <c r="K22" s="95">
        <v>221</v>
      </c>
      <c r="L22" s="95">
        <v>241</v>
      </c>
      <c r="M22" s="95">
        <v>243</v>
      </c>
      <c r="N22" s="95">
        <v>253</v>
      </c>
    </row>
    <row r="23" spans="2:14" x14ac:dyDescent="0.25">
      <c r="B23" t="s">
        <v>179</v>
      </c>
      <c r="C23" s="95">
        <v>45</v>
      </c>
      <c r="D23" s="95">
        <v>50</v>
      </c>
      <c r="E23" s="95">
        <v>57</v>
      </c>
      <c r="F23" s="95">
        <v>71</v>
      </c>
      <c r="G23" s="95">
        <v>83</v>
      </c>
      <c r="H23" s="95">
        <v>49</v>
      </c>
      <c r="I23" s="95">
        <v>59</v>
      </c>
      <c r="J23" s="95">
        <v>72</v>
      </c>
      <c r="K23" s="95">
        <v>88</v>
      </c>
      <c r="L23" s="95">
        <v>94</v>
      </c>
      <c r="M23" s="95">
        <v>99</v>
      </c>
      <c r="N23" s="95">
        <v>113</v>
      </c>
    </row>
    <row r="24" spans="2:14" x14ac:dyDescent="0.25">
      <c r="B24" t="s">
        <v>180</v>
      </c>
      <c r="C24" s="95">
        <v>9</v>
      </c>
      <c r="D24" s="95">
        <v>11</v>
      </c>
      <c r="E24" s="95">
        <v>11</v>
      </c>
      <c r="F24" s="95">
        <v>14</v>
      </c>
      <c r="G24" s="95">
        <v>18</v>
      </c>
      <c r="H24" s="95">
        <v>11</v>
      </c>
      <c r="I24" s="95">
        <v>14</v>
      </c>
      <c r="J24" s="95">
        <v>27</v>
      </c>
      <c r="K24" s="95">
        <v>47</v>
      </c>
      <c r="L24" s="95">
        <v>43</v>
      </c>
      <c r="M24" s="95">
        <v>38</v>
      </c>
      <c r="N24" s="95">
        <v>32</v>
      </c>
    </row>
    <row r="25" spans="2:14" x14ac:dyDescent="0.25">
      <c r="B25" t="s">
        <v>181</v>
      </c>
      <c r="C25" s="95">
        <v>59</v>
      </c>
      <c r="D25" s="95">
        <v>53</v>
      </c>
      <c r="E25" s="95">
        <v>57</v>
      </c>
      <c r="F25" s="95">
        <v>203</v>
      </c>
      <c r="G25" s="95">
        <v>351</v>
      </c>
      <c r="H25" s="95">
        <v>339</v>
      </c>
      <c r="I25" s="95">
        <v>276</v>
      </c>
      <c r="J25" s="95">
        <v>468</v>
      </c>
      <c r="K25" s="95">
        <v>512</v>
      </c>
      <c r="L25" s="95">
        <v>505</v>
      </c>
      <c r="M25" s="95">
        <v>476</v>
      </c>
      <c r="N25" s="95">
        <v>411</v>
      </c>
    </row>
    <row r="26" spans="2:14" x14ac:dyDescent="0.25">
      <c r="B26" t="s">
        <v>182</v>
      </c>
      <c r="C26" s="95">
        <v>62</v>
      </c>
      <c r="D26" s="95">
        <v>84</v>
      </c>
      <c r="E26" s="95">
        <v>99</v>
      </c>
      <c r="F26" s="95">
        <v>128</v>
      </c>
      <c r="G26" s="95">
        <v>145</v>
      </c>
      <c r="H26" s="95">
        <v>103</v>
      </c>
      <c r="I26" s="95">
        <v>128</v>
      </c>
      <c r="J26" s="95">
        <v>238</v>
      </c>
      <c r="K26" s="95">
        <v>261</v>
      </c>
      <c r="L26" s="95">
        <v>293</v>
      </c>
      <c r="M26" s="95">
        <v>302</v>
      </c>
      <c r="N26" s="95">
        <v>294</v>
      </c>
    </row>
    <row r="27" spans="2:14" x14ac:dyDescent="0.25">
      <c r="B27" s="82" t="s">
        <v>183</v>
      </c>
      <c r="C27" s="96">
        <v>2025</v>
      </c>
      <c r="D27" s="96">
        <v>2146</v>
      </c>
      <c r="E27" s="96">
        <v>3429</v>
      </c>
      <c r="F27" s="96">
        <v>3804</v>
      </c>
      <c r="G27" s="96">
        <v>4112</v>
      </c>
      <c r="H27" s="96">
        <v>3744</v>
      </c>
      <c r="I27" s="96">
        <v>3914</v>
      </c>
      <c r="J27" s="96">
        <v>4705</v>
      </c>
      <c r="K27" s="96">
        <v>8141</v>
      </c>
      <c r="L27" s="96">
        <v>8282</v>
      </c>
      <c r="M27" s="96">
        <v>8392</v>
      </c>
      <c r="N27" s="96">
        <v>8604</v>
      </c>
    </row>
    <row r="28" spans="2:14" x14ac:dyDescent="0.25">
      <c r="B28" s="82" t="s">
        <v>184</v>
      </c>
      <c r="C28" s="88">
        <v>704</v>
      </c>
      <c r="D28" s="88">
        <v>834</v>
      </c>
      <c r="E28" s="88">
        <v>979</v>
      </c>
      <c r="F28" s="88">
        <v>1223</v>
      </c>
      <c r="G28" s="88">
        <v>1438</v>
      </c>
      <c r="H28" s="88">
        <v>275</v>
      </c>
      <c r="I28" s="88">
        <v>610</v>
      </c>
      <c r="J28" s="88">
        <v>973</v>
      </c>
      <c r="K28" s="88">
        <v>1592</v>
      </c>
      <c r="L28" s="88">
        <v>2010</v>
      </c>
      <c r="M28" s="88">
        <v>2533</v>
      </c>
      <c r="N28" s="88">
        <v>3085</v>
      </c>
    </row>
    <row r="29" spans="2:14" x14ac:dyDescent="0.25">
      <c r="B29" s="91" t="s">
        <v>142</v>
      </c>
      <c r="C29" s="94">
        <v>1321</v>
      </c>
      <c r="D29" s="94">
        <v>1312</v>
      </c>
      <c r="E29" s="94">
        <v>2450</v>
      </c>
      <c r="F29" s="94">
        <v>2581</v>
      </c>
      <c r="G29" s="94">
        <v>2674</v>
      </c>
      <c r="H29" s="94">
        <v>3469</v>
      </c>
      <c r="I29" s="94">
        <v>3304</v>
      </c>
      <c r="J29" s="94">
        <v>3732</v>
      </c>
      <c r="K29" s="94">
        <v>6549</v>
      </c>
      <c r="L29" s="94">
        <v>6272</v>
      </c>
      <c r="M29" s="94">
        <v>5859</v>
      </c>
      <c r="N29" s="94">
        <v>5519</v>
      </c>
    </row>
    <row r="30" spans="2:14" x14ac:dyDescent="0.25"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</row>
    <row r="31" spans="2:14" x14ac:dyDescent="0.25">
      <c r="B31" s="82" t="s">
        <v>185</v>
      </c>
      <c r="C31" s="92">
        <v>43</v>
      </c>
      <c r="D31" s="92">
        <v>617</v>
      </c>
      <c r="E31" s="92">
        <v>59</v>
      </c>
      <c r="F31" s="92">
        <v>72</v>
      </c>
      <c r="G31" s="92">
        <v>196</v>
      </c>
      <c r="H31" s="92">
        <v>107</v>
      </c>
      <c r="I31" s="92">
        <v>258</v>
      </c>
      <c r="J31" s="92">
        <v>1405</v>
      </c>
      <c r="K31" s="92">
        <v>210</v>
      </c>
      <c r="L31" s="92">
        <v>140</v>
      </c>
      <c r="M31" s="92">
        <v>183</v>
      </c>
      <c r="N31" s="92">
        <v>426</v>
      </c>
    </row>
    <row r="32" spans="2:14" x14ac:dyDescent="0.25">
      <c r="B32" s="82" t="s">
        <v>144</v>
      </c>
      <c r="C32" s="92">
        <v>429</v>
      </c>
      <c r="D32" s="92">
        <v>355</v>
      </c>
      <c r="E32" s="92">
        <v>296</v>
      </c>
      <c r="F32" s="92">
        <v>1424</v>
      </c>
      <c r="G32" s="92">
        <v>1588</v>
      </c>
      <c r="H32" s="92">
        <v>2712</v>
      </c>
      <c r="I32" s="92">
        <v>2652</v>
      </c>
      <c r="J32" s="92">
        <v>2141</v>
      </c>
      <c r="K32" s="92">
        <v>2569</v>
      </c>
      <c r="L32" s="92">
        <v>2019</v>
      </c>
      <c r="M32" s="92">
        <v>4737</v>
      </c>
      <c r="N32" s="92">
        <v>3248</v>
      </c>
    </row>
    <row r="33" spans="2:14" x14ac:dyDescent="0.25"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</row>
    <row r="34" spans="2:14" x14ac:dyDescent="0.25">
      <c r="B34" s="82" t="s">
        <v>186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 spans="2:14" x14ac:dyDescent="0.25">
      <c r="B35" t="s">
        <v>187</v>
      </c>
      <c r="C35" s="92">
        <v>1305</v>
      </c>
      <c r="D35" s="92">
        <v>1599</v>
      </c>
      <c r="E35" s="92">
        <v>1830</v>
      </c>
      <c r="F35" s="92">
        <v>2070</v>
      </c>
      <c r="G35" s="92">
        <v>2259</v>
      </c>
      <c r="H35" s="92">
        <v>1998</v>
      </c>
      <c r="I35" s="92">
        <v>2627</v>
      </c>
      <c r="J35" s="92">
        <v>2658</v>
      </c>
      <c r="K35" s="92">
        <v>3150</v>
      </c>
      <c r="L35" s="92">
        <v>3390</v>
      </c>
      <c r="M35" s="92">
        <v>3799</v>
      </c>
      <c r="N35" s="92">
        <v>6153</v>
      </c>
    </row>
    <row r="36" spans="2:14" x14ac:dyDescent="0.25">
      <c r="B36" t="s">
        <v>188</v>
      </c>
      <c r="C36" s="92">
        <v>573</v>
      </c>
      <c r="D36" s="92">
        <v>781</v>
      </c>
      <c r="E36" s="92">
        <v>981</v>
      </c>
      <c r="F36" s="92">
        <v>1110</v>
      </c>
      <c r="G36" s="92">
        <v>1182</v>
      </c>
      <c r="H36" s="92">
        <v>1187</v>
      </c>
      <c r="I36" s="92">
        <v>1447</v>
      </c>
      <c r="J36" s="92">
        <v>1731</v>
      </c>
      <c r="K36" s="92">
        <v>1907</v>
      </c>
      <c r="L36" s="92">
        <v>1795</v>
      </c>
      <c r="M36" s="92">
        <v>2602</v>
      </c>
      <c r="N36" s="92">
        <v>3871</v>
      </c>
    </row>
    <row r="37" spans="2:14" x14ac:dyDescent="0.25">
      <c r="B37" t="s">
        <v>189</v>
      </c>
      <c r="C37" s="92">
        <v>626</v>
      </c>
      <c r="D37" s="92">
        <v>624</v>
      </c>
      <c r="E37" s="92">
        <v>737</v>
      </c>
      <c r="F37" s="92">
        <v>229</v>
      </c>
      <c r="G37" s="92">
        <v>204</v>
      </c>
      <c r="H37" s="92">
        <v>424</v>
      </c>
      <c r="I37" s="92">
        <v>801</v>
      </c>
      <c r="J37" s="92">
        <v>405</v>
      </c>
      <c r="K37" s="92">
        <v>445</v>
      </c>
      <c r="L37" s="92">
        <v>783</v>
      </c>
      <c r="M37" s="92">
        <v>611</v>
      </c>
      <c r="N37" s="92">
        <v>864</v>
      </c>
    </row>
    <row r="38" spans="2:14" x14ac:dyDescent="0.25">
      <c r="B38" t="s">
        <v>190</v>
      </c>
      <c r="C38" s="92">
        <v>229</v>
      </c>
      <c r="D38" s="92">
        <v>249</v>
      </c>
      <c r="E38" s="92">
        <v>353</v>
      </c>
      <c r="F38" s="92">
        <v>496</v>
      </c>
      <c r="G38" s="92">
        <v>574</v>
      </c>
      <c r="H38" s="92">
        <v>606</v>
      </c>
      <c r="I38" s="92">
        <v>807</v>
      </c>
      <c r="J38" s="92">
        <v>1141</v>
      </c>
      <c r="K38" s="92">
        <v>1058</v>
      </c>
      <c r="L38" s="92">
        <v>1177</v>
      </c>
      <c r="M38" s="92">
        <v>1846</v>
      </c>
      <c r="N38" s="92">
        <v>2216</v>
      </c>
    </row>
    <row r="39" spans="2:14" x14ac:dyDescent="0.25">
      <c r="B39" t="s">
        <v>191</v>
      </c>
      <c r="C39" s="93">
        <v>94</v>
      </c>
      <c r="D39" s="93">
        <v>186</v>
      </c>
      <c r="E39" s="93">
        <v>87</v>
      </c>
      <c r="F39" s="93">
        <v>113</v>
      </c>
      <c r="G39" s="93">
        <v>252</v>
      </c>
      <c r="H39" s="93">
        <v>109</v>
      </c>
      <c r="I39" s="93">
        <v>510</v>
      </c>
      <c r="J39" s="93">
        <v>551</v>
      </c>
      <c r="K39" s="93">
        <v>414</v>
      </c>
      <c r="L39" s="93">
        <v>561</v>
      </c>
      <c r="M39" s="93">
        <v>720</v>
      </c>
      <c r="N39" s="93">
        <v>661</v>
      </c>
    </row>
    <row r="40" spans="2:14" x14ac:dyDescent="0.25">
      <c r="B40" s="89" t="s">
        <v>192</v>
      </c>
      <c r="C40" s="97">
        <v>4611</v>
      </c>
      <c r="D40" s="97">
        <v>5712</v>
      </c>
      <c r="E40" s="97">
        <v>6784</v>
      </c>
      <c r="F40" s="97">
        <v>8075</v>
      </c>
      <c r="G40" s="97">
        <v>8914</v>
      </c>
      <c r="H40" s="97">
        <v>10559</v>
      </c>
      <c r="I40" s="97">
        <v>12405</v>
      </c>
      <c r="J40" s="97">
        <v>13763</v>
      </c>
      <c r="K40" s="97">
        <v>16249</v>
      </c>
      <c r="L40" s="97">
        <v>16138</v>
      </c>
      <c r="M40" s="97">
        <v>20355</v>
      </c>
      <c r="N40" s="97">
        <v>22958</v>
      </c>
    </row>
    <row r="41" spans="2:14" x14ac:dyDescent="0.25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 spans="2:14" x14ac:dyDescent="0.25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 spans="2:14" x14ac:dyDescent="0.25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 spans="2:14" x14ac:dyDescent="0.25">
      <c r="B44" t="s">
        <v>193</v>
      </c>
      <c r="C44" s="92">
        <v>762</v>
      </c>
      <c r="D44" s="92">
        <v>710</v>
      </c>
      <c r="E44" s="92">
        <v>1187</v>
      </c>
      <c r="F44" s="92">
        <v>1402</v>
      </c>
      <c r="G44" s="92">
        <v>1188</v>
      </c>
      <c r="H44" s="92">
        <v>2243</v>
      </c>
      <c r="I44" s="92">
        <v>1527</v>
      </c>
      <c r="J44" s="92">
        <v>2113</v>
      </c>
      <c r="K44" s="92">
        <v>2470</v>
      </c>
      <c r="L44" s="92">
        <v>3038</v>
      </c>
      <c r="M44" s="92">
        <v>3683</v>
      </c>
      <c r="N44" s="92">
        <v>986</v>
      </c>
    </row>
    <row r="45" spans="2:14" x14ac:dyDescent="0.25">
      <c r="B45" t="s">
        <v>194</v>
      </c>
      <c r="C45" s="92">
        <v>1331</v>
      </c>
      <c r="D45" s="92">
        <v>1539</v>
      </c>
      <c r="E45" s="92">
        <v>1784</v>
      </c>
      <c r="F45" s="92">
        <v>2051</v>
      </c>
      <c r="G45" s="92">
        <v>2271</v>
      </c>
      <c r="H45" s="92">
        <v>2848</v>
      </c>
      <c r="I45" s="92">
        <v>3056</v>
      </c>
      <c r="J45" s="92">
        <v>3274</v>
      </c>
      <c r="K45" s="92">
        <v>3861</v>
      </c>
      <c r="L45" s="92">
        <v>4380</v>
      </c>
      <c r="M45" s="92">
        <v>4970</v>
      </c>
      <c r="N45" s="92">
        <v>4957</v>
      </c>
    </row>
    <row r="46" spans="2:14" x14ac:dyDescent="0.25">
      <c r="B46" t="s">
        <v>146</v>
      </c>
      <c r="C46" s="92">
        <v>-82</v>
      </c>
      <c r="D46" s="92">
        <v>-305</v>
      </c>
      <c r="E46" s="92">
        <v>-299</v>
      </c>
      <c r="F46" s="92">
        <v>-254</v>
      </c>
      <c r="G46" s="92">
        <v>-155</v>
      </c>
      <c r="H46" s="92">
        <v>-146</v>
      </c>
      <c r="I46" s="92">
        <v>-475</v>
      </c>
      <c r="J46" s="92">
        <v>-483</v>
      </c>
      <c r="K46" s="92">
        <v>-205</v>
      </c>
      <c r="L46" s="92">
        <v>160</v>
      </c>
      <c r="M46" s="92">
        <v>-849</v>
      </c>
      <c r="N46" s="92">
        <v>-1326</v>
      </c>
    </row>
    <row r="47" spans="2:14" x14ac:dyDescent="0.25">
      <c r="B47" t="s">
        <v>147</v>
      </c>
      <c r="C47" s="92">
        <v>-350</v>
      </c>
      <c r="D47" s="92">
        <v>-293</v>
      </c>
      <c r="E47" s="92">
        <v>-247</v>
      </c>
      <c r="F47" s="92">
        <v>-231</v>
      </c>
      <c r="G47" s="92">
        <v>-144</v>
      </c>
      <c r="H47" s="92">
        <v>202</v>
      </c>
      <c r="I47" s="92">
        <v>-629</v>
      </c>
      <c r="J47" s="92">
        <v>-39</v>
      </c>
      <c r="K47" s="92">
        <v>-492</v>
      </c>
      <c r="L47" s="92">
        <v>-251</v>
      </c>
      <c r="M47" s="92">
        <v>-409</v>
      </c>
      <c r="N47" s="92">
        <v>-2354</v>
      </c>
    </row>
    <row r="48" spans="2:14" x14ac:dyDescent="0.25">
      <c r="B48" t="s">
        <v>195</v>
      </c>
      <c r="C48" s="92">
        <v>255</v>
      </c>
      <c r="D48" s="92">
        <v>188</v>
      </c>
      <c r="E48" s="92">
        <v>388</v>
      </c>
      <c r="F48" s="92">
        <v>317</v>
      </c>
      <c r="G48" s="92">
        <v>-151</v>
      </c>
      <c r="H48" s="92">
        <v>142</v>
      </c>
      <c r="I48" s="92">
        <v>501</v>
      </c>
      <c r="J48" s="92">
        <v>442</v>
      </c>
      <c r="K48" s="92">
        <v>287</v>
      </c>
      <c r="L48" s="92">
        <v>-241</v>
      </c>
      <c r="M48" s="92">
        <v>1143</v>
      </c>
      <c r="N48" s="92">
        <v>644</v>
      </c>
    </row>
    <row r="49" spans="2:14" x14ac:dyDescent="0.25">
      <c r="B49" t="s">
        <v>196</v>
      </c>
      <c r="C49" s="92" t="s">
        <v>166</v>
      </c>
      <c r="D49" s="92" t="s">
        <v>166</v>
      </c>
      <c r="E49" s="92" t="s">
        <v>166</v>
      </c>
      <c r="F49" s="92" t="s">
        <v>166</v>
      </c>
      <c r="G49" s="92" t="s">
        <v>166</v>
      </c>
      <c r="H49" s="92" t="s">
        <v>166</v>
      </c>
      <c r="I49" s="92" t="s">
        <v>166</v>
      </c>
      <c r="J49" s="92" t="s">
        <v>166</v>
      </c>
      <c r="K49" s="92" t="s">
        <v>166</v>
      </c>
      <c r="L49" s="92" t="s">
        <v>166</v>
      </c>
      <c r="M49" s="92">
        <v>-92</v>
      </c>
      <c r="N49" s="92">
        <v>242</v>
      </c>
    </row>
    <row r="50" spans="2:14" x14ac:dyDescent="0.25">
      <c r="B50" t="s">
        <v>197</v>
      </c>
      <c r="C50" s="92">
        <v>-176</v>
      </c>
      <c r="D50" s="92">
        <v>-410</v>
      </c>
      <c r="E50" s="92">
        <v>-159</v>
      </c>
      <c r="F50" s="92">
        <v>-168</v>
      </c>
      <c r="G50" s="92">
        <v>-450</v>
      </c>
      <c r="H50" s="92">
        <v>198</v>
      </c>
      <c r="I50" s="92">
        <v>-603</v>
      </c>
      <c r="J50" s="92">
        <v>-80</v>
      </c>
      <c r="K50" s="92">
        <v>-410</v>
      </c>
      <c r="L50" s="92">
        <v>-331</v>
      </c>
      <c r="M50" s="92">
        <v>-206</v>
      </c>
      <c r="N50" s="92">
        <v>-2795</v>
      </c>
    </row>
    <row r="51" spans="2:14" x14ac:dyDescent="0.25">
      <c r="B51" t="s">
        <v>198</v>
      </c>
      <c r="C51" s="92">
        <v>-392</v>
      </c>
      <c r="D51" s="92">
        <v>-430</v>
      </c>
      <c r="E51" s="92">
        <v>-438</v>
      </c>
      <c r="F51" s="92">
        <v>-480</v>
      </c>
      <c r="G51" s="92">
        <v>-633</v>
      </c>
      <c r="H51" s="92">
        <v>-802</v>
      </c>
      <c r="I51" s="92">
        <v>-925</v>
      </c>
      <c r="J51" s="92">
        <v>-1081</v>
      </c>
      <c r="K51" s="92">
        <v>-982</v>
      </c>
      <c r="L51" s="92">
        <v>-1011</v>
      </c>
      <c r="M51" s="92">
        <v>-1080</v>
      </c>
      <c r="N51" s="92">
        <v>-1176</v>
      </c>
    </row>
    <row r="52" spans="2:14" x14ac:dyDescent="0.25">
      <c r="B52" t="s">
        <v>199</v>
      </c>
      <c r="C52" s="92" t="s">
        <v>166</v>
      </c>
      <c r="D52" s="92">
        <v>10</v>
      </c>
      <c r="E52" s="92" t="s">
        <v>166</v>
      </c>
      <c r="F52" s="92" t="s">
        <v>166</v>
      </c>
      <c r="G52" s="92" t="s">
        <v>166</v>
      </c>
      <c r="H52" s="92" t="s">
        <v>166</v>
      </c>
      <c r="I52" s="92" t="s">
        <v>166</v>
      </c>
      <c r="J52" s="92" t="s">
        <v>166</v>
      </c>
      <c r="K52" s="92" t="s">
        <v>166</v>
      </c>
      <c r="L52" s="92" t="s">
        <v>166</v>
      </c>
      <c r="M52" s="92" t="s">
        <v>166</v>
      </c>
      <c r="N52" s="92" t="s">
        <v>166</v>
      </c>
    </row>
    <row r="53" spans="2:14" x14ac:dyDescent="0.25">
      <c r="B53" t="s">
        <v>200</v>
      </c>
      <c r="C53" s="92">
        <v>-439</v>
      </c>
      <c r="D53" s="92">
        <v>-386</v>
      </c>
      <c r="E53" s="92">
        <v>-463</v>
      </c>
      <c r="F53" s="92">
        <v>-586</v>
      </c>
      <c r="G53" s="92">
        <v>-465</v>
      </c>
      <c r="H53" s="92">
        <v>-866</v>
      </c>
      <c r="I53" s="92">
        <v>-681</v>
      </c>
      <c r="J53" s="92">
        <v>-1556</v>
      </c>
      <c r="K53" s="92">
        <v>-918</v>
      </c>
      <c r="L53" s="92">
        <v>-518</v>
      </c>
      <c r="M53" s="92">
        <v>-541</v>
      </c>
      <c r="N53" s="92">
        <v>-317</v>
      </c>
    </row>
    <row r="54" spans="2:14" x14ac:dyDescent="0.25">
      <c r="B54" t="s">
        <v>201</v>
      </c>
      <c r="C54" s="92">
        <v>-156</v>
      </c>
      <c r="D54" s="92">
        <v>-546</v>
      </c>
      <c r="E54" s="92">
        <v>-644</v>
      </c>
      <c r="F54" s="92">
        <v>-251</v>
      </c>
      <c r="G54" s="92">
        <v>-454</v>
      </c>
      <c r="H54" s="92">
        <v>-817</v>
      </c>
      <c r="I54" s="92">
        <v>-684</v>
      </c>
      <c r="J54" s="92">
        <v>-1426</v>
      </c>
      <c r="K54" s="92">
        <v>-1151</v>
      </c>
      <c r="L54" s="92">
        <v>-404</v>
      </c>
      <c r="M54" s="92">
        <v>-282</v>
      </c>
      <c r="N54" s="92">
        <v>-538</v>
      </c>
    </row>
    <row r="55" spans="2:14" x14ac:dyDescent="0.25">
      <c r="B55" t="s">
        <v>202</v>
      </c>
      <c r="C55" s="92">
        <v>6</v>
      </c>
      <c r="D55" s="92">
        <v>6</v>
      </c>
      <c r="E55" s="92">
        <v>7</v>
      </c>
      <c r="F55" s="92">
        <v>16</v>
      </c>
      <c r="G55" s="92">
        <v>16</v>
      </c>
      <c r="H55" s="92">
        <v>15</v>
      </c>
      <c r="I55" s="92">
        <v>17</v>
      </c>
      <c r="J55" s="92">
        <v>17</v>
      </c>
      <c r="K55" s="92">
        <v>17</v>
      </c>
      <c r="L55" s="92">
        <v>37</v>
      </c>
      <c r="M55" s="92">
        <v>28</v>
      </c>
      <c r="N55" s="92">
        <v>40</v>
      </c>
    </row>
    <row r="56" spans="2:14" x14ac:dyDescent="0.25">
      <c r="B56" t="s">
        <v>203</v>
      </c>
      <c r="C56" s="92">
        <v>-336</v>
      </c>
      <c r="D56" s="92">
        <v>-290</v>
      </c>
      <c r="E56" s="92">
        <v>-247</v>
      </c>
      <c r="F56" s="92">
        <v>-872</v>
      </c>
      <c r="G56" s="92">
        <v>-243</v>
      </c>
      <c r="H56" s="92">
        <v>-282</v>
      </c>
      <c r="I56" s="92">
        <v>-153</v>
      </c>
      <c r="J56" s="92">
        <v>-320</v>
      </c>
      <c r="K56" s="92">
        <v>-573</v>
      </c>
      <c r="L56" s="92">
        <v>-25</v>
      </c>
      <c r="M56" s="92">
        <v>-140</v>
      </c>
      <c r="N56" s="92" t="s">
        <v>166</v>
      </c>
    </row>
    <row r="57" spans="2:14" x14ac:dyDescent="0.25">
      <c r="B57" t="s">
        <v>204</v>
      </c>
      <c r="C57" s="92" t="s">
        <v>166</v>
      </c>
      <c r="D57" s="92">
        <v>398</v>
      </c>
      <c r="E57" s="92">
        <v>330</v>
      </c>
      <c r="F57" s="92">
        <v>463</v>
      </c>
      <c r="G57" s="92">
        <v>278</v>
      </c>
      <c r="H57" s="92">
        <v>205</v>
      </c>
      <c r="I57" s="92">
        <v>357</v>
      </c>
      <c r="J57" s="92">
        <v>362</v>
      </c>
      <c r="K57" s="92">
        <v>733</v>
      </c>
      <c r="L57" s="92">
        <v>134</v>
      </c>
      <c r="M57" s="92">
        <v>272</v>
      </c>
      <c r="N57" s="92">
        <v>207</v>
      </c>
    </row>
    <row r="58" spans="2:14" x14ac:dyDescent="0.25">
      <c r="B58" t="s">
        <v>205</v>
      </c>
      <c r="C58" s="92">
        <v>10</v>
      </c>
      <c r="D58" s="92">
        <v>6</v>
      </c>
      <c r="E58" s="92">
        <v>11</v>
      </c>
      <c r="F58" s="92">
        <v>14</v>
      </c>
      <c r="G58" s="92">
        <v>11</v>
      </c>
      <c r="H58" s="92">
        <v>15</v>
      </c>
      <c r="I58" s="92">
        <v>32</v>
      </c>
      <c r="J58" s="92">
        <v>39</v>
      </c>
      <c r="K58" s="92">
        <v>40</v>
      </c>
      <c r="L58" s="92">
        <v>65</v>
      </c>
      <c r="M58" s="92">
        <v>73</v>
      </c>
      <c r="N58" s="92">
        <v>77</v>
      </c>
    </row>
    <row r="59" spans="2:14" x14ac:dyDescent="0.25">
      <c r="B59" t="s">
        <v>206</v>
      </c>
      <c r="C59" s="92">
        <v>35</v>
      </c>
      <c r="D59" s="92">
        <v>42</v>
      </c>
      <c r="E59" s="92">
        <v>33</v>
      </c>
      <c r="F59" s="92">
        <v>65</v>
      </c>
      <c r="G59" s="92">
        <v>71</v>
      </c>
      <c r="H59" s="92">
        <v>69</v>
      </c>
      <c r="I59" s="92">
        <v>74</v>
      </c>
      <c r="J59" s="92">
        <v>38</v>
      </c>
      <c r="K59" s="92">
        <v>40</v>
      </c>
      <c r="L59" s="92">
        <v>27</v>
      </c>
      <c r="M59" s="92">
        <v>8</v>
      </c>
      <c r="N59" s="92">
        <v>15</v>
      </c>
    </row>
    <row r="60" spans="2:14" x14ac:dyDescent="0.25">
      <c r="B60" t="s">
        <v>207</v>
      </c>
      <c r="C60" s="92" t="s">
        <v>166</v>
      </c>
      <c r="D60" s="103" t="s">
        <v>166</v>
      </c>
      <c r="E60" s="92" t="s">
        <v>166</v>
      </c>
      <c r="F60" s="92" t="s">
        <v>166</v>
      </c>
      <c r="G60" s="92" t="s">
        <v>166</v>
      </c>
      <c r="H60" s="92" t="s">
        <v>166</v>
      </c>
      <c r="I60" s="92" t="s">
        <v>166</v>
      </c>
      <c r="J60" s="92">
        <v>141</v>
      </c>
      <c r="K60" s="92" t="s">
        <v>166</v>
      </c>
      <c r="L60" s="92" t="s">
        <v>166</v>
      </c>
      <c r="M60" s="92" t="s">
        <v>166</v>
      </c>
      <c r="N60" s="92" t="s">
        <v>166</v>
      </c>
    </row>
    <row r="61" spans="2:14" x14ac:dyDescent="0.25">
      <c r="B61" t="s">
        <v>208</v>
      </c>
      <c r="C61" s="92" t="s">
        <v>166</v>
      </c>
      <c r="D61" s="92" t="s">
        <v>166</v>
      </c>
      <c r="E61" s="92" t="s">
        <v>166</v>
      </c>
      <c r="F61" s="92" t="s">
        <v>166</v>
      </c>
      <c r="G61" s="92" t="s">
        <v>166</v>
      </c>
      <c r="H61" s="92" t="s">
        <v>166</v>
      </c>
      <c r="I61" s="92" t="s">
        <v>166</v>
      </c>
      <c r="J61" s="92">
        <v>-525</v>
      </c>
      <c r="K61" s="92" t="s">
        <v>166</v>
      </c>
      <c r="L61" s="92" t="s">
        <v>166</v>
      </c>
      <c r="M61" s="92" t="s">
        <v>166</v>
      </c>
      <c r="N61" s="92" t="s">
        <v>166</v>
      </c>
    </row>
    <row r="62" spans="2:14" x14ac:dyDescent="0.25">
      <c r="B62" t="s">
        <v>209</v>
      </c>
      <c r="C62" s="92">
        <v>2</v>
      </c>
      <c r="D62" s="92">
        <v>-1</v>
      </c>
      <c r="E62" s="92">
        <v>46</v>
      </c>
      <c r="F62" s="92">
        <v>-21</v>
      </c>
      <c r="G62" s="92">
        <v>-144</v>
      </c>
      <c r="H62" s="92">
        <v>-70</v>
      </c>
      <c r="I62" s="92">
        <v>-324</v>
      </c>
      <c r="J62" s="92">
        <v>118</v>
      </c>
      <c r="K62" s="92">
        <v>-24</v>
      </c>
      <c r="L62" s="92">
        <v>-353</v>
      </c>
      <c r="M62" s="92">
        <v>-500</v>
      </c>
      <c r="N62" s="92">
        <v>-118</v>
      </c>
    </row>
    <row r="63" spans="2:14" x14ac:dyDescent="0.25">
      <c r="B63" t="s">
        <v>210</v>
      </c>
      <c r="C63" s="92">
        <v>-334</v>
      </c>
      <c r="D63" s="92">
        <v>-327</v>
      </c>
      <c r="E63" s="92">
        <v>-601</v>
      </c>
      <c r="F63" s="92">
        <v>-626</v>
      </c>
      <c r="G63" s="92">
        <v>-576</v>
      </c>
      <c r="H63" s="92">
        <v>-849</v>
      </c>
      <c r="I63" s="92">
        <v>-756</v>
      </c>
      <c r="J63" s="92">
        <v>-1379</v>
      </c>
      <c r="K63" s="92">
        <v>-1117</v>
      </c>
      <c r="L63" s="92">
        <v>-2871</v>
      </c>
      <c r="M63" s="92">
        <v>-650</v>
      </c>
      <c r="N63" s="92">
        <v>-1808</v>
      </c>
    </row>
    <row r="64" spans="2:14" x14ac:dyDescent="0.25">
      <c r="B64" t="s">
        <v>211</v>
      </c>
      <c r="C64" s="92">
        <v>12</v>
      </c>
      <c r="D64" s="92">
        <v>109</v>
      </c>
      <c r="E64" s="92">
        <v>33</v>
      </c>
      <c r="F64" s="92">
        <v>44</v>
      </c>
      <c r="G64" s="92">
        <v>239</v>
      </c>
      <c r="H64" s="92">
        <v>8</v>
      </c>
      <c r="I64" s="92">
        <v>271</v>
      </c>
      <c r="J64" s="92">
        <v>10</v>
      </c>
      <c r="K64" s="92">
        <v>243</v>
      </c>
      <c r="L64" s="92">
        <v>18</v>
      </c>
      <c r="M64" s="92">
        <v>155</v>
      </c>
      <c r="N64" s="92">
        <v>418</v>
      </c>
    </row>
    <row r="65" spans="2:14" x14ac:dyDescent="0.25">
      <c r="B65" t="s">
        <v>212</v>
      </c>
      <c r="C65" s="92">
        <v>-6</v>
      </c>
      <c r="D65" s="92">
        <v>-12</v>
      </c>
      <c r="E65" s="92">
        <v>-135</v>
      </c>
      <c r="F65" s="92">
        <v>-81</v>
      </c>
      <c r="G65" s="92">
        <v>-86</v>
      </c>
      <c r="H65" s="92">
        <v>-119</v>
      </c>
      <c r="I65" s="92">
        <v>-58</v>
      </c>
      <c r="J65" s="92">
        <v>-54</v>
      </c>
      <c r="K65" s="92">
        <v>-26</v>
      </c>
      <c r="L65" s="92">
        <v>-279</v>
      </c>
      <c r="M65" s="92">
        <v>-14</v>
      </c>
      <c r="N65" s="92">
        <v>-8</v>
      </c>
    </row>
    <row r="66" spans="2:14" x14ac:dyDescent="0.25">
      <c r="B66" t="s">
        <v>213</v>
      </c>
      <c r="C66" s="92">
        <v>-23</v>
      </c>
      <c r="D66" s="92">
        <v>-40</v>
      </c>
      <c r="E66" s="92">
        <v>-37</v>
      </c>
      <c r="F66" s="92">
        <v>-42</v>
      </c>
      <c r="G66" s="92">
        <v>-35</v>
      </c>
      <c r="H66" s="92">
        <v>-40</v>
      </c>
      <c r="I66" s="92">
        <v>-36</v>
      </c>
      <c r="J66" s="92">
        <v>-35</v>
      </c>
      <c r="K66" s="92">
        <v>-106</v>
      </c>
      <c r="L66" s="92">
        <v>-101</v>
      </c>
      <c r="M66" s="92">
        <v>-89</v>
      </c>
      <c r="N66" s="92">
        <v>-94</v>
      </c>
    </row>
    <row r="67" spans="2:14" x14ac:dyDescent="0.25">
      <c r="B67" t="s">
        <v>214</v>
      </c>
      <c r="C67" s="92">
        <v>-317</v>
      </c>
      <c r="D67" s="92">
        <v>-383</v>
      </c>
      <c r="E67" s="92">
        <v>-462</v>
      </c>
      <c r="F67" s="92">
        <v>-547</v>
      </c>
      <c r="G67" s="92">
        <v>-695</v>
      </c>
      <c r="H67" s="92">
        <v>-764</v>
      </c>
      <c r="I67" s="92">
        <v>-947</v>
      </c>
      <c r="J67" s="92">
        <v>-1218</v>
      </c>
      <c r="K67" s="92">
        <v>-1049</v>
      </c>
      <c r="L67" s="92">
        <v>-2121</v>
      </c>
      <c r="M67" s="92">
        <v>-499</v>
      </c>
      <c r="N67" s="92">
        <v>-1763</v>
      </c>
    </row>
    <row r="68" spans="2:14" x14ac:dyDescent="0.25">
      <c r="B68" t="s">
        <v>215</v>
      </c>
      <c r="C68" s="92" t="s">
        <v>166</v>
      </c>
      <c r="D68" s="92" t="s">
        <v>166</v>
      </c>
      <c r="E68" s="92" t="s">
        <v>166</v>
      </c>
      <c r="F68" s="92" t="s">
        <v>166</v>
      </c>
      <c r="G68" s="92" t="s">
        <v>166</v>
      </c>
      <c r="H68" s="92" t="s">
        <v>166</v>
      </c>
      <c r="I68" s="92" t="s">
        <v>166</v>
      </c>
      <c r="J68" s="92" t="s">
        <v>166</v>
      </c>
      <c r="K68" s="92">
        <v>-180</v>
      </c>
      <c r="L68" s="92">
        <v>-179</v>
      </c>
      <c r="M68" s="92">
        <v>-203</v>
      </c>
      <c r="N68" s="92">
        <v>-221</v>
      </c>
    </row>
    <row r="69" spans="2:14" x14ac:dyDescent="0.25">
      <c r="B69" t="s">
        <v>216</v>
      </c>
      <c r="C69" s="92" t="s">
        <v>166</v>
      </c>
      <c r="D69" s="92" t="s">
        <v>166</v>
      </c>
      <c r="E69" s="92" t="s">
        <v>166</v>
      </c>
      <c r="F69" s="92" t="s">
        <v>166</v>
      </c>
      <c r="G69" s="92" t="s">
        <v>166</v>
      </c>
      <c r="H69" s="92">
        <v>66</v>
      </c>
      <c r="I69" s="92">
        <v>13</v>
      </c>
      <c r="J69" s="92">
        <v>-82</v>
      </c>
      <c r="K69" s="92" t="s">
        <v>166</v>
      </c>
      <c r="L69" s="92">
        <v>-209</v>
      </c>
      <c r="M69" s="92" t="s">
        <v>166</v>
      </c>
      <c r="N69" s="92">
        <v>-140</v>
      </c>
    </row>
    <row r="70" spans="2:14" x14ac:dyDescent="0.25">
      <c r="B70" t="s">
        <v>156</v>
      </c>
      <c r="C70" s="92">
        <v>-11</v>
      </c>
      <c r="D70" s="92">
        <v>-2</v>
      </c>
      <c r="E70" s="92">
        <v>123</v>
      </c>
      <c r="F70" s="92">
        <v>190</v>
      </c>
      <c r="G70" s="92">
        <v>147</v>
      </c>
      <c r="H70" s="92">
        <v>528</v>
      </c>
      <c r="I70" s="92">
        <v>90</v>
      </c>
      <c r="J70" s="92">
        <v>-822</v>
      </c>
      <c r="K70" s="92">
        <v>434</v>
      </c>
      <c r="L70" s="92">
        <v>-351</v>
      </c>
      <c r="M70" s="92">
        <v>2492</v>
      </c>
      <c r="N70" s="92">
        <v>-1138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FBFB8-A4F3-4D22-AA5C-715C026EB4C0}">
  <sheetPr>
    <tabColor rgb="FF002060"/>
  </sheetPr>
  <dimension ref="A1"/>
  <sheetViews>
    <sheetView workbookViewId="0">
      <selection activeCell="I14" sqref="I14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C76D0-9049-4775-A151-C9447E58F285}">
  <sheetPr>
    <tabColor rgb="FFC00000"/>
  </sheetPr>
  <dimension ref="A1:L93"/>
  <sheetViews>
    <sheetView workbookViewId="0">
      <selection activeCell="D10" sqref="D10"/>
    </sheetView>
  </sheetViews>
  <sheetFormatPr defaultRowHeight="15" x14ac:dyDescent="0.25"/>
  <cols>
    <col min="1" max="1" width="26.7109375" bestFit="1" customWidth="1"/>
    <col min="2" max="2" width="20.140625" bestFit="1" customWidth="1"/>
    <col min="3" max="11" width="11" bestFit="1" customWidth="1"/>
  </cols>
  <sheetData>
    <row r="1" spans="1:11" x14ac:dyDescent="0.25">
      <c r="A1" s="59" t="s">
        <v>105</v>
      </c>
      <c r="B1" s="59" t="s">
        <v>106</v>
      </c>
      <c r="C1" s="59"/>
      <c r="D1" s="59"/>
      <c r="E1" s="57" t="s">
        <v>107</v>
      </c>
      <c r="F1" s="57"/>
      <c r="G1" s="57"/>
      <c r="H1" s="57"/>
      <c r="I1" s="57"/>
      <c r="J1" s="57"/>
      <c r="K1" s="57"/>
    </row>
    <row r="2" spans="1:11" x14ac:dyDescent="0.25">
      <c r="A2" s="59" t="s">
        <v>108</v>
      </c>
      <c r="B2" s="60">
        <v>2.1</v>
      </c>
      <c r="C2" s="58"/>
      <c r="D2" s="58"/>
      <c r="E2" s="56" t="s">
        <v>109</v>
      </c>
      <c r="F2" s="56"/>
      <c r="G2" s="56"/>
      <c r="H2" s="56"/>
      <c r="I2" s="56"/>
      <c r="J2" s="56"/>
      <c r="K2" s="56"/>
    </row>
    <row r="3" spans="1:11" x14ac:dyDescent="0.25">
      <c r="A3" s="59" t="s">
        <v>110</v>
      </c>
      <c r="B3" s="60">
        <v>2.1</v>
      </c>
      <c r="C3" s="58"/>
      <c r="D3" s="58"/>
      <c r="E3" s="58"/>
      <c r="F3" s="58"/>
      <c r="G3" s="58"/>
      <c r="H3" s="58"/>
      <c r="I3" s="58"/>
      <c r="J3" s="58"/>
      <c r="K3" s="58"/>
    </row>
    <row r="4" spans="1:11" x14ac:dyDescent="0.25">
      <c r="A4" s="59"/>
      <c r="B4" s="58"/>
      <c r="C4" s="58"/>
      <c r="D4" s="58"/>
      <c r="E4" s="58"/>
      <c r="F4" s="58"/>
      <c r="G4" s="58"/>
      <c r="H4" s="58"/>
      <c r="I4" s="58"/>
      <c r="J4" s="58"/>
      <c r="K4" s="58"/>
    </row>
    <row r="5" spans="1:11" x14ac:dyDescent="0.25">
      <c r="A5" s="59" t="s">
        <v>111</v>
      </c>
      <c r="B5" s="58"/>
      <c r="C5" s="58"/>
      <c r="D5" s="58"/>
      <c r="E5" s="58"/>
      <c r="F5" s="58"/>
      <c r="G5" s="58"/>
      <c r="H5" s="58"/>
      <c r="I5" s="58"/>
      <c r="J5" s="58"/>
      <c r="K5" s="58"/>
    </row>
    <row r="6" spans="1:11" x14ac:dyDescent="0.25">
      <c r="A6" s="60" t="s">
        <v>112</v>
      </c>
      <c r="B6" s="60">
        <v>358.58908869987852</v>
      </c>
      <c r="C6" s="58"/>
      <c r="D6" s="58"/>
      <c r="E6" s="58"/>
      <c r="F6" s="58"/>
      <c r="G6" s="58"/>
      <c r="H6" s="58"/>
      <c r="I6" s="58"/>
      <c r="J6" s="58"/>
      <c r="K6" s="58"/>
    </row>
    <row r="7" spans="1:11" x14ac:dyDescent="0.25">
      <c r="A7" s="60" t="s">
        <v>113</v>
      </c>
      <c r="B7" s="61">
        <v>2</v>
      </c>
      <c r="C7" s="58"/>
      <c r="D7" s="58"/>
      <c r="E7" s="58"/>
      <c r="F7" s="58"/>
      <c r="G7" s="58"/>
      <c r="H7" s="58"/>
      <c r="I7" s="58"/>
      <c r="J7" s="58"/>
      <c r="K7" s="58"/>
    </row>
    <row r="8" spans="1:11" x14ac:dyDescent="0.25">
      <c r="A8" s="60" t="s">
        <v>114</v>
      </c>
      <c r="B8" s="61">
        <v>411.5</v>
      </c>
      <c r="C8" s="58"/>
      <c r="D8" s="58"/>
      <c r="E8" s="58"/>
      <c r="F8" s="58"/>
      <c r="G8" s="58"/>
      <c r="H8" s="58"/>
      <c r="I8" s="58"/>
      <c r="J8" s="58"/>
      <c r="K8" s="58"/>
    </row>
    <row r="9" spans="1:11" x14ac:dyDescent="0.25">
      <c r="A9" s="60" t="s">
        <v>30</v>
      </c>
      <c r="B9" s="61">
        <v>147559.41</v>
      </c>
      <c r="C9" s="58"/>
      <c r="D9" s="58"/>
      <c r="E9" s="58"/>
      <c r="F9" s="58"/>
      <c r="G9" s="58"/>
      <c r="H9" s="58"/>
      <c r="I9" s="58"/>
      <c r="J9" s="58"/>
      <c r="K9" s="58"/>
    </row>
    <row r="15" spans="1:11" x14ac:dyDescent="0.25">
      <c r="A15" s="59" t="s">
        <v>115</v>
      </c>
      <c r="B15" s="60">
        <v>32432.079999999998</v>
      </c>
      <c r="C15" s="58"/>
      <c r="D15" s="58"/>
      <c r="E15" s="58"/>
      <c r="F15" s="58"/>
      <c r="G15" s="58"/>
      <c r="H15" s="58"/>
      <c r="I15" s="58"/>
      <c r="J15" s="58"/>
      <c r="K15" s="60">
        <v>29129.190000000006</v>
      </c>
    </row>
    <row r="16" spans="1:11" x14ac:dyDescent="0.25">
      <c r="A16" s="62" t="s">
        <v>116</v>
      </c>
      <c r="B16" s="63">
        <v>41364</v>
      </c>
      <c r="C16" s="63">
        <v>41729</v>
      </c>
      <c r="D16" s="63">
        <v>42094</v>
      </c>
      <c r="E16" s="63">
        <v>42460</v>
      </c>
      <c r="F16" s="63">
        <v>42825</v>
      </c>
      <c r="G16" s="63">
        <v>43190</v>
      </c>
      <c r="H16" s="63">
        <v>43555</v>
      </c>
      <c r="I16" s="63">
        <v>43921</v>
      </c>
      <c r="J16" s="63">
        <v>44286</v>
      </c>
      <c r="K16" s="63">
        <v>44651</v>
      </c>
    </row>
    <row r="17" spans="1:11" x14ac:dyDescent="0.25">
      <c r="A17" s="60" t="s">
        <v>117</v>
      </c>
      <c r="B17" s="61">
        <v>188792.69</v>
      </c>
      <c r="C17" s="61">
        <v>232833.66</v>
      </c>
      <c r="D17" s="61">
        <v>263158.98</v>
      </c>
      <c r="E17" s="61">
        <v>273045.59999999998</v>
      </c>
      <c r="F17" s="61">
        <v>269692.51</v>
      </c>
      <c r="G17" s="61">
        <v>291550.48</v>
      </c>
      <c r="H17" s="61">
        <v>301938.40000000002</v>
      </c>
      <c r="I17" s="61">
        <v>261067.97</v>
      </c>
      <c r="J17" s="61">
        <v>249794.75</v>
      </c>
      <c r="K17" s="61">
        <v>278453.62</v>
      </c>
    </row>
    <row r="18" spans="1:11" x14ac:dyDescent="0.25">
      <c r="A18" s="60" t="s">
        <v>118</v>
      </c>
      <c r="B18" s="64">
        <v>123117.34</v>
      </c>
      <c r="C18" s="64">
        <v>146426.99</v>
      </c>
      <c r="D18" s="64">
        <v>163250.35999999999</v>
      </c>
      <c r="E18" s="64">
        <v>166134.01</v>
      </c>
      <c r="F18" s="64">
        <v>173294.07999999999</v>
      </c>
      <c r="G18" s="64">
        <v>187896.58</v>
      </c>
      <c r="H18" s="64">
        <v>194267.91</v>
      </c>
      <c r="I18" s="64">
        <v>164899.82</v>
      </c>
      <c r="J18" s="64">
        <v>153607.35999999999</v>
      </c>
      <c r="K18" s="64">
        <v>179295.33</v>
      </c>
    </row>
    <row r="19" spans="1:11" x14ac:dyDescent="0.25">
      <c r="A19" s="60" t="s">
        <v>119</v>
      </c>
      <c r="B19" s="64">
        <v>3029.29</v>
      </c>
      <c r="C19" s="64">
        <v>2840.58</v>
      </c>
      <c r="D19" s="64">
        <v>3330.35</v>
      </c>
      <c r="E19" s="64">
        <v>2750.99</v>
      </c>
      <c r="F19" s="64">
        <v>7399.92</v>
      </c>
      <c r="G19" s="64">
        <v>2046.58</v>
      </c>
      <c r="H19" s="64">
        <v>-2053.2800000000002</v>
      </c>
      <c r="I19" s="64">
        <v>-2231.19</v>
      </c>
      <c r="J19" s="64">
        <v>-4684.16</v>
      </c>
      <c r="K19" s="64">
        <v>-1590.49</v>
      </c>
    </row>
    <row r="20" spans="1:11" x14ac:dyDescent="0.25">
      <c r="A20" s="60" t="s">
        <v>120</v>
      </c>
      <c r="B20" s="61">
        <v>1077.77</v>
      </c>
      <c r="C20" s="61">
        <v>1128.69</v>
      </c>
      <c r="D20" s="61">
        <v>1121.75</v>
      </c>
      <c r="E20" s="61">
        <v>1143.6300000000001</v>
      </c>
      <c r="F20" s="61">
        <v>1159.82</v>
      </c>
      <c r="G20" s="61">
        <v>1308.08</v>
      </c>
      <c r="H20" s="61">
        <v>1585.93</v>
      </c>
      <c r="I20" s="61">
        <v>1264.95</v>
      </c>
      <c r="J20" s="61">
        <v>1112.8699999999999</v>
      </c>
      <c r="K20" s="61">
        <v>2178.29</v>
      </c>
    </row>
    <row r="21" spans="1:11" x14ac:dyDescent="0.25">
      <c r="A21" s="60" t="s">
        <v>121</v>
      </c>
      <c r="B21" s="61">
        <v>4440.7299999999996</v>
      </c>
      <c r="C21" s="61">
        <v>13806.04</v>
      </c>
      <c r="D21" s="61">
        <v>16173.17</v>
      </c>
      <c r="E21" s="61">
        <v>12101.53</v>
      </c>
      <c r="F21" s="61">
        <v>10067.370000000001</v>
      </c>
      <c r="G21" s="61">
        <v>10971.66</v>
      </c>
      <c r="H21" s="61">
        <v>11694.54</v>
      </c>
      <c r="I21" s="61">
        <v>11541.51</v>
      </c>
      <c r="J21" s="61">
        <v>8273.17</v>
      </c>
      <c r="K21" s="61">
        <v>9427.3799999999992</v>
      </c>
    </row>
    <row r="22" spans="1:11" x14ac:dyDescent="0.25">
      <c r="A22" s="60" t="s">
        <v>122</v>
      </c>
      <c r="B22" s="61">
        <v>16632.189999999999</v>
      </c>
      <c r="C22" s="61">
        <v>21609.919999999998</v>
      </c>
      <c r="D22" s="61">
        <v>25641.95</v>
      </c>
      <c r="E22" s="61">
        <v>28880.89</v>
      </c>
      <c r="F22" s="61">
        <v>28332.89</v>
      </c>
      <c r="G22" s="61">
        <v>30300.09</v>
      </c>
      <c r="H22" s="61">
        <v>33243.870000000003</v>
      </c>
      <c r="I22" s="61">
        <v>30438.6</v>
      </c>
      <c r="J22" s="61">
        <v>27648.48</v>
      </c>
      <c r="K22" s="61">
        <v>30808.52</v>
      </c>
    </row>
    <row r="23" spans="1:11" x14ac:dyDescent="0.25">
      <c r="A23" s="60" t="s">
        <v>123</v>
      </c>
      <c r="B23" s="61">
        <v>16632.91</v>
      </c>
      <c r="C23" s="61">
        <v>22357.79</v>
      </c>
      <c r="D23" s="61">
        <v>23603.01</v>
      </c>
      <c r="E23" s="61">
        <v>21991.9</v>
      </c>
      <c r="F23" s="61">
        <v>30039.38</v>
      </c>
      <c r="G23" s="61">
        <v>31004.58</v>
      </c>
      <c r="H23" s="61">
        <v>32719.8</v>
      </c>
      <c r="I23" s="61">
        <v>29248.32</v>
      </c>
      <c r="J23" s="61">
        <v>23015.79</v>
      </c>
      <c r="K23" s="61">
        <v>29205.4</v>
      </c>
    </row>
    <row r="24" spans="1:11" x14ac:dyDescent="0.25">
      <c r="A24" s="60" t="s">
        <v>124</v>
      </c>
      <c r="B24" s="61">
        <v>5325.06</v>
      </c>
      <c r="C24" s="61">
        <v>-4508.55</v>
      </c>
      <c r="D24" s="61">
        <v>-2539.56</v>
      </c>
      <c r="E24" s="61">
        <v>7149.38</v>
      </c>
      <c r="F24" s="61">
        <v>4610.2</v>
      </c>
      <c r="G24" s="61">
        <v>658.39</v>
      </c>
      <c r="H24" s="61">
        <v>1708.74</v>
      </c>
      <c r="I24" s="61">
        <v>3456.51</v>
      </c>
      <c r="J24" s="61">
        <v>-834.51</v>
      </c>
      <c r="K24" s="61">
        <v>1228.1199999999999</v>
      </c>
    </row>
    <row r="25" spans="1:11" x14ac:dyDescent="0.25">
      <c r="A25" s="60" t="s">
        <v>125</v>
      </c>
      <c r="B25" s="61">
        <v>212.88</v>
      </c>
      <c r="C25" s="61">
        <v>-156.79</v>
      </c>
      <c r="D25" s="61">
        <v>714.03</v>
      </c>
      <c r="E25" s="61">
        <v>-2669.62</v>
      </c>
      <c r="F25" s="61">
        <v>1869.1</v>
      </c>
      <c r="G25" s="61">
        <v>5932.73</v>
      </c>
      <c r="H25" s="61">
        <v>-26686.25</v>
      </c>
      <c r="I25" s="61">
        <v>101.71</v>
      </c>
      <c r="J25" s="61">
        <v>-11117.83</v>
      </c>
      <c r="K25" s="61">
        <v>2424.0500000000002</v>
      </c>
    </row>
    <row r="26" spans="1:11" x14ac:dyDescent="0.25">
      <c r="A26" s="60" t="s">
        <v>126</v>
      </c>
      <c r="B26" s="61">
        <v>7601.28</v>
      </c>
      <c r="C26" s="61">
        <v>11078.16</v>
      </c>
      <c r="D26" s="61">
        <v>13388.63</v>
      </c>
      <c r="E26" s="61">
        <v>16710.78</v>
      </c>
      <c r="F26" s="61">
        <v>17904.990000000002</v>
      </c>
      <c r="G26" s="61">
        <v>21553.59</v>
      </c>
      <c r="H26" s="61">
        <v>23590.63</v>
      </c>
      <c r="I26" s="61">
        <v>21425.43</v>
      </c>
      <c r="J26" s="61">
        <v>23546.71</v>
      </c>
      <c r="K26" s="61">
        <v>24835.69</v>
      </c>
    </row>
    <row r="27" spans="1:11" x14ac:dyDescent="0.25">
      <c r="A27" s="60" t="s">
        <v>127</v>
      </c>
      <c r="B27" s="61">
        <v>3560.25</v>
      </c>
      <c r="C27" s="61">
        <v>4749.4399999999996</v>
      </c>
      <c r="D27" s="61">
        <v>4861.49</v>
      </c>
      <c r="E27" s="61">
        <v>4889.08</v>
      </c>
      <c r="F27" s="61">
        <v>4238.01</v>
      </c>
      <c r="G27" s="61">
        <v>4681.79</v>
      </c>
      <c r="H27" s="61">
        <v>5758.6</v>
      </c>
      <c r="I27" s="61">
        <v>7243.33</v>
      </c>
      <c r="J27" s="64">
        <v>8097.17</v>
      </c>
      <c r="K27" s="64">
        <v>9311.86</v>
      </c>
    </row>
    <row r="28" spans="1:11" x14ac:dyDescent="0.25">
      <c r="A28" s="60" t="s">
        <v>128</v>
      </c>
      <c r="B28" s="61">
        <v>13647.33</v>
      </c>
      <c r="C28" s="61">
        <v>18868.97</v>
      </c>
      <c r="D28" s="61">
        <v>21702.560000000001</v>
      </c>
      <c r="E28" s="61">
        <v>14125.77</v>
      </c>
      <c r="F28" s="61">
        <v>9314.7900000000009</v>
      </c>
      <c r="G28" s="61">
        <v>11155.03</v>
      </c>
      <c r="H28" s="61">
        <v>-31371.15</v>
      </c>
      <c r="I28" s="61">
        <v>-10579.98</v>
      </c>
      <c r="J28" s="61">
        <v>-10474.280000000001</v>
      </c>
      <c r="K28" s="61">
        <v>-7003.41</v>
      </c>
    </row>
    <row r="29" spans="1:11" x14ac:dyDescent="0.25">
      <c r="A29" s="60" t="s">
        <v>129</v>
      </c>
      <c r="B29" s="61">
        <v>3776.66</v>
      </c>
      <c r="C29" s="61">
        <v>4764.79</v>
      </c>
      <c r="D29" s="61">
        <v>7642.91</v>
      </c>
      <c r="E29" s="61">
        <v>3025.05</v>
      </c>
      <c r="F29" s="61">
        <v>3251.23</v>
      </c>
      <c r="G29" s="61">
        <v>4341.93</v>
      </c>
      <c r="H29" s="61">
        <v>-2437.4499999999998</v>
      </c>
      <c r="I29" s="61">
        <v>395.25</v>
      </c>
      <c r="J29" s="61">
        <v>2541.86</v>
      </c>
      <c r="K29" s="61">
        <v>4231.29</v>
      </c>
    </row>
    <row r="30" spans="1:11" x14ac:dyDescent="0.25">
      <c r="A30" s="60" t="s">
        <v>130</v>
      </c>
      <c r="B30" s="61">
        <v>9892.61</v>
      </c>
      <c r="C30" s="61">
        <v>13991.02</v>
      </c>
      <c r="D30" s="61">
        <v>13986.29</v>
      </c>
      <c r="E30" s="61">
        <v>11579.31</v>
      </c>
      <c r="F30" s="61">
        <v>7454.36</v>
      </c>
      <c r="G30" s="61">
        <v>8988.91</v>
      </c>
      <c r="H30" s="61">
        <v>-28826.23</v>
      </c>
      <c r="I30" s="61">
        <v>-12070.85</v>
      </c>
      <c r="J30" s="61">
        <v>-13451.39</v>
      </c>
      <c r="K30" s="61">
        <v>-11441.47</v>
      </c>
    </row>
    <row r="31" spans="1:11" x14ac:dyDescent="0.25">
      <c r="A31" s="60" t="s">
        <v>131</v>
      </c>
      <c r="B31" s="61">
        <v>638.07000000000005</v>
      </c>
      <c r="C31" s="61">
        <v>643.78</v>
      </c>
      <c r="D31" s="61"/>
      <c r="E31" s="61">
        <v>67.92</v>
      </c>
      <c r="F31" s="61"/>
      <c r="G31" s="61"/>
      <c r="H31" s="61"/>
      <c r="I31" s="61"/>
      <c r="J31" s="61"/>
      <c r="K31" s="61"/>
    </row>
    <row r="32" spans="1:11" x14ac:dyDescent="0.25">
      <c r="A32" s="60" t="s">
        <v>132</v>
      </c>
      <c r="B32" s="65">
        <v>0.27673251837538915</v>
      </c>
      <c r="C32" s="65">
        <v>0.252519877873567</v>
      </c>
      <c r="D32" s="65">
        <v>0.3521662882166896</v>
      </c>
      <c r="E32" s="65">
        <v>0.21415115777759372</v>
      </c>
      <c r="F32" s="65">
        <v>0.34903953819678163</v>
      </c>
      <c r="G32" s="65">
        <v>0.38923517014297587</v>
      </c>
      <c r="H32" s="65">
        <v>7.7697183558779317E-2</v>
      </c>
      <c r="I32" s="65">
        <v>-3.735829368297483E-2</v>
      </c>
      <c r="J32" s="65">
        <v>-0.24267634625005249</v>
      </c>
      <c r="K32" s="65">
        <v>-0.60417568013296385</v>
      </c>
    </row>
    <row r="34" spans="1:11" x14ac:dyDescent="0.25">
      <c r="A34" s="60" t="s">
        <v>133</v>
      </c>
      <c r="B34" s="60">
        <v>24830.799999999999</v>
      </c>
      <c r="C34" s="60">
        <v>34583.410000000003</v>
      </c>
      <c r="D34" s="60">
        <v>39879.32</v>
      </c>
      <c r="E34" s="60">
        <v>36204.22</v>
      </c>
      <c r="F34" s="60">
        <v>32848.590000000004</v>
      </c>
      <c r="G34" s="60">
        <v>39566.22</v>
      </c>
      <c r="H34" s="60">
        <v>-1914.4500000000007</v>
      </c>
      <c r="I34" s="60">
        <v>16993.16</v>
      </c>
      <c r="J34" s="60">
        <v>20734.349999999999</v>
      </c>
      <c r="K34" s="60">
        <v>26937.37</v>
      </c>
    </row>
    <row r="40" spans="1:11" x14ac:dyDescent="0.25">
      <c r="A40" s="59" t="s">
        <v>134</v>
      </c>
      <c r="B40" s="58"/>
      <c r="C40" s="58"/>
      <c r="D40" s="58"/>
      <c r="E40" s="58"/>
      <c r="F40" s="58"/>
      <c r="G40" s="58"/>
      <c r="H40" s="58"/>
      <c r="I40" s="58"/>
      <c r="J40" s="58"/>
      <c r="K40" s="58"/>
    </row>
    <row r="41" spans="1:11" x14ac:dyDescent="0.25">
      <c r="A41" s="62" t="s">
        <v>116</v>
      </c>
      <c r="B41" s="63">
        <v>44012</v>
      </c>
      <c r="C41" s="63">
        <v>44104</v>
      </c>
      <c r="D41" s="63">
        <v>44196</v>
      </c>
      <c r="E41" s="63">
        <v>44286</v>
      </c>
      <c r="F41" s="63">
        <v>44377</v>
      </c>
      <c r="G41" s="63">
        <v>44469</v>
      </c>
      <c r="H41" s="63">
        <v>44561</v>
      </c>
      <c r="I41" s="63">
        <v>44651</v>
      </c>
      <c r="J41" s="63">
        <v>44742</v>
      </c>
      <c r="K41" s="63">
        <v>44834</v>
      </c>
    </row>
    <row r="42" spans="1:11" x14ac:dyDescent="0.25">
      <c r="A42" s="60" t="s">
        <v>117</v>
      </c>
      <c r="B42" s="61">
        <v>31983.06</v>
      </c>
      <c r="C42" s="61">
        <v>53530</v>
      </c>
      <c r="D42" s="61">
        <v>75653.789999999994</v>
      </c>
      <c r="E42" s="61">
        <v>88627.9</v>
      </c>
      <c r="F42" s="61">
        <v>66406.45</v>
      </c>
      <c r="G42" s="61">
        <v>61378.82</v>
      </c>
      <c r="H42" s="61">
        <v>72229.289999999994</v>
      </c>
      <c r="I42" s="61">
        <v>78439.06</v>
      </c>
      <c r="J42" s="61">
        <v>71934.66</v>
      </c>
      <c r="K42" s="61">
        <v>79611.37</v>
      </c>
    </row>
    <row r="43" spans="1:11" x14ac:dyDescent="0.25">
      <c r="A43" s="60" t="s">
        <v>135</v>
      </c>
      <c r="B43" s="61">
        <v>31300.36</v>
      </c>
      <c r="C43" s="61">
        <v>47431.7</v>
      </c>
      <c r="D43" s="61">
        <v>63521.09</v>
      </c>
      <c r="E43" s="61">
        <v>75254.17</v>
      </c>
      <c r="F43" s="61">
        <v>61163.78</v>
      </c>
      <c r="G43" s="61">
        <v>57262.21</v>
      </c>
      <c r="H43" s="61">
        <v>65151.27</v>
      </c>
      <c r="I43" s="61">
        <v>70156.27</v>
      </c>
      <c r="J43" s="61">
        <v>69521.929999999993</v>
      </c>
      <c r="K43" s="61">
        <v>74039.06</v>
      </c>
    </row>
    <row r="44" spans="1:11" x14ac:dyDescent="0.25">
      <c r="A44" s="60" t="s">
        <v>125</v>
      </c>
      <c r="B44" s="61">
        <v>609.75</v>
      </c>
      <c r="C44" s="61">
        <v>638.1</v>
      </c>
      <c r="D44" s="61">
        <v>289.37</v>
      </c>
      <c r="E44" s="61">
        <v>-12655.05</v>
      </c>
      <c r="F44" s="61">
        <v>584.12</v>
      </c>
      <c r="G44" s="61">
        <v>862.46</v>
      </c>
      <c r="H44" s="61">
        <v>788.73</v>
      </c>
      <c r="I44" s="61">
        <v>188.74</v>
      </c>
      <c r="J44" s="61">
        <v>2380.98</v>
      </c>
      <c r="K44" s="61">
        <v>1351.14</v>
      </c>
    </row>
    <row r="45" spans="1:11" x14ac:dyDescent="0.25">
      <c r="A45" s="60" t="s">
        <v>126</v>
      </c>
      <c r="B45" s="61">
        <v>5599.37</v>
      </c>
      <c r="C45" s="61">
        <v>5601.47</v>
      </c>
      <c r="D45" s="61">
        <v>6128.75</v>
      </c>
      <c r="E45" s="61">
        <v>6217.12</v>
      </c>
      <c r="F45" s="61">
        <v>6202.13</v>
      </c>
      <c r="G45" s="61">
        <v>6123.32</v>
      </c>
      <c r="H45" s="61">
        <v>6078.13</v>
      </c>
      <c r="I45" s="61">
        <v>6432.11</v>
      </c>
      <c r="J45" s="61">
        <v>5841.04</v>
      </c>
      <c r="K45" s="61">
        <v>5897.34</v>
      </c>
    </row>
    <row r="46" spans="1:11" x14ac:dyDescent="0.25">
      <c r="A46" s="60" t="s">
        <v>127</v>
      </c>
      <c r="B46" s="64">
        <v>1876.81</v>
      </c>
      <c r="C46" s="64">
        <v>1949.6</v>
      </c>
      <c r="D46" s="64">
        <v>2125.9299999999998</v>
      </c>
      <c r="E46" s="64">
        <v>2144.83</v>
      </c>
      <c r="F46" s="64">
        <v>2203.3000000000002</v>
      </c>
      <c r="G46" s="64">
        <v>2327.3000000000002</v>
      </c>
      <c r="H46" s="64">
        <v>2400.7399999999998</v>
      </c>
      <c r="I46" s="64">
        <v>2380.52</v>
      </c>
      <c r="J46" s="64">
        <v>2420.7199999999998</v>
      </c>
      <c r="K46" s="64">
        <v>2487.2600000000002</v>
      </c>
    </row>
    <row r="47" spans="1:11" x14ac:dyDescent="0.25">
      <c r="A47" s="60" t="s">
        <v>128</v>
      </c>
      <c r="B47" s="61">
        <v>-6183.73</v>
      </c>
      <c r="C47" s="61">
        <v>-814.67</v>
      </c>
      <c r="D47" s="61">
        <v>4167.3900000000003</v>
      </c>
      <c r="E47" s="61">
        <v>-7643.27</v>
      </c>
      <c r="F47" s="61">
        <v>-2578.64</v>
      </c>
      <c r="G47" s="61">
        <v>-3471.55</v>
      </c>
      <c r="H47" s="61">
        <v>-612.12</v>
      </c>
      <c r="I47" s="61">
        <v>-341.1</v>
      </c>
      <c r="J47" s="61">
        <v>-3468.05</v>
      </c>
      <c r="K47" s="61">
        <v>-1461.15</v>
      </c>
    </row>
    <row r="48" spans="1:11" x14ac:dyDescent="0.25">
      <c r="A48" s="60" t="s">
        <v>129</v>
      </c>
      <c r="B48" s="61">
        <v>2200.4899999999998</v>
      </c>
      <c r="C48" s="61">
        <v>-471.39</v>
      </c>
      <c r="D48" s="61">
        <v>945.18</v>
      </c>
      <c r="E48" s="61">
        <v>-132.41999999999999</v>
      </c>
      <c r="F48" s="61">
        <v>1741.96</v>
      </c>
      <c r="G48" s="61">
        <v>1005.06</v>
      </c>
      <c r="H48" s="61">
        <v>726.05</v>
      </c>
      <c r="I48" s="61">
        <v>758.22</v>
      </c>
      <c r="J48" s="61">
        <v>1518.96</v>
      </c>
      <c r="K48" s="61">
        <v>-457.08</v>
      </c>
    </row>
    <row r="49" spans="1:11" x14ac:dyDescent="0.25">
      <c r="A49" s="60" t="s">
        <v>130</v>
      </c>
      <c r="B49" s="61">
        <v>-8437.99</v>
      </c>
      <c r="C49" s="61">
        <v>-314.45</v>
      </c>
      <c r="D49" s="61">
        <v>2906.45</v>
      </c>
      <c r="E49" s="61">
        <v>-7605.4</v>
      </c>
      <c r="F49" s="61">
        <v>-4450.92</v>
      </c>
      <c r="G49" s="61">
        <v>-4441.57</v>
      </c>
      <c r="H49" s="61">
        <v>-1516.14</v>
      </c>
      <c r="I49" s="61">
        <v>-1032.8399999999999</v>
      </c>
      <c r="J49" s="61">
        <v>-5006.6000000000004</v>
      </c>
      <c r="K49" s="61">
        <v>-944.61</v>
      </c>
    </row>
    <row r="50" spans="1:11" x14ac:dyDescent="0.25">
      <c r="A50" s="60" t="s">
        <v>136</v>
      </c>
      <c r="B50" s="61">
        <v>682.7</v>
      </c>
      <c r="C50" s="61">
        <v>6098.3</v>
      </c>
      <c r="D50" s="61">
        <v>12132.7</v>
      </c>
      <c r="E50" s="61">
        <v>13373.73</v>
      </c>
      <c r="F50" s="61">
        <v>5242.67</v>
      </c>
      <c r="G50" s="61">
        <v>4116.6099999999997</v>
      </c>
      <c r="H50" s="61">
        <v>7078.02</v>
      </c>
      <c r="I50" s="61">
        <v>8282.7900000000009</v>
      </c>
      <c r="J50" s="61">
        <v>2412.73</v>
      </c>
      <c r="K50" s="61">
        <v>5572.31</v>
      </c>
    </row>
    <row r="51" spans="1:11" x14ac:dyDescent="0.25">
      <c r="A51" s="60" t="s">
        <v>133</v>
      </c>
      <c r="B51" s="60">
        <v>1238.6799999999994</v>
      </c>
      <c r="C51" s="60">
        <v>6765.2300000000005</v>
      </c>
      <c r="D51" s="60">
        <v>12106.31</v>
      </c>
      <c r="E51" s="60">
        <v>624.13000000000011</v>
      </c>
      <c r="F51" s="60">
        <v>5696.47</v>
      </c>
      <c r="G51" s="60">
        <v>5014.1100000000006</v>
      </c>
      <c r="H51" s="60">
        <v>7688.78</v>
      </c>
      <c r="I51" s="60">
        <v>8538.01</v>
      </c>
      <c r="J51" s="60">
        <v>4774.119999999999</v>
      </c>
      <c r="K51" s="60">
        <v>6982.91</v>
      </c>
    </row>
    <row r="55" spans="1:11" x14ac:dyDescent="0.25">
      <c r="A55" s="59" t="s">
        <v>137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</row>
    <row r="56" spans="1:11" x14ac:dyDescent="0.25">
      <c r="A56" s="62" t="s">
        <v>116</v>
      </c>
      <c r="B56" s="63">
        <v>41364</v>
      </c>
      <c r="C56" s="63">
        <v>41729</v>
      </c>
      <c r="D56" s="63">
        <v>42094</v>
      </c>
      <c r="E56" s="63">
        <v>42460</v>
      </c>
      <c r="F56" s="63">
        <v>42825</v>
      </c>
      <c r="G56" s="63">
        <v>43190</v>
      </c>
      <c r="H56" s="63">
        <v>43555</v>
      </c>
      <c r="I56" s="63">
        <v>43921</v>
      </c>
      <c r="J56" s="63">
        <v>44286</v>
      </c>
      <c r="K56" s="63">
        <v>44651</v>
      </c>
    </row>
    <row r="57" spans="1:11" x14ac:dyDescent="0.25">
      <c r="A57" s="60" t="s">
        <v>138</v>
      </c>
      <c r="B57" s="61">
        <v>638.07000000000005</v>
      </c>
      <c r="C57" s="61">
        <v>643.78</v>
      </c>
      <c r="D57" s="61">
        <v>643.78</v>
      </c>
      <c r="E57" s="61">
        <v>679.18</v>
      </c>
      <c r="F57" s="61">
        <v>679.22</v>
      </c>
      <c r="G57" s="61">
        <v>679.22</v>
      </c>
      <c r="H57" s="61">
        <v>679.22</v>
      </c>
      <c r="I57" s="61">
        <v>719.54</v>
      </c>
      <c r="J57" s="61">
        <v>765.81</v>
      </c>
      <c r="K57" s="61">
        <v>765.88</v>
      </c>
    </row>
    <row r="58" spans="1:11" x14ac:dyDescent="0.25">
      <c r="A58" s="60" t="s">
        <v>139</v>
      </c>
      <c r="B58" s="61">
        <v>36999.230000000003</v>
      </c>
      <c r="C58" s="61">
        <v>64959.67</v>
      </c>
      <c r="D58" s="61">
        <v>55618.14</v>
      </c>
      <c r="E58" s="61">
        <v>78273.23</v>
      </c>
      <c r="F58" s="61">
        <v>57382.67</v>
      </c>
      <c r="G58" s="61">
        <v>94748.69</v>
      </c>
      <c r="H58" s="61">
        <v>59500.34</v>
      </c>
      <c r="I58" s="61">
        <v>61491.49</v>
      </c>
      <c r="J58" s="61">
        <v>54480.91</v>
      </c>
      <c r="K58" s="61">
        <v>43795.360000000001</v>
      </c>
    </row>
    <row r="59" spans="1:11" x14ac:dyDescent="0.25">
      <c r="A59" s="60" t="s">
        <v>140</v>
      </c>
      <c r="B59" s="64">
        <v>53715.71</v>
      </c>
      <c r="C59" s="64">
        <v>60642.28</v>
      </c>
      <c r="D59" s="64">
        <v>73610.39</v>
      </c>
      <c r="E59" s="64">
        <v>69359.960000000006</v>
      </c>
      <c r="F59" s="64">
        <v>78603.98</v>
      </c>
      <c r="G59" s="64">
        <v>88950.47</v>
      </c>
      <c r="H59" s="64">
        <v>106175.34</v>
      </c>
      <c r="I59" s="64">
        <v>124787.64</v>
      </c>
      <c r="J59" s="64">
        <v>142130.57</v>
      </c>
      <c r="K59" s="64">
        <v>146449.03</v>
      </c>
    </row>
    <row r="60" spans="1:11" x14ac:dyDescent="0.25">
      <c r="A60" s="60" t="s">
        <v>141</v>
      </c>
      <c r="B60" s="61">
        <v>76977.02</v>
      </c>
      <c r="C60" s="61">
        <v>92180.26</v>
      </c>
      <c r="D60" s="61">
        <v>107442.48</v>
      </c>
      <c r="E60" s="61">
        <v>114871.75</v>
      </c>
      <c r="F60" s="61">
        <v>135914.49</v>
      </c>
      <c r="G60" s="61">
        <v>142813.43</v>
      </c>
      <c r="H60" s="61">
        <v>139348.59</v>
      </c>
      <c r="I60" s="61">
        <v>133180.72</v>
      </c>
      <c r="J60" s="61">
        <v>144192.62</v>
      </c>
      <c r="K60" s="61">
        <v>138051.22</v>
      </c>
    </row>
    <row r="61" spans="1:11" x14ac:dyDescent="0.25">
      <c r="A61" s="59" t="s">
        <v>64</v>
      </c>
      <c r="B61" s="61">
        <v>168330.03</v>
      </c>
      <c r="C61" s="61">
        <v>218425.99</v>
      </c>
      <c r="D61" s="61">
        <v>237314.79</v>
      </c>
      <c r="E61" s="61">
        <v>263184.12</v>
      </c>
      <c r="F61" s="61">
        <v>272580.36</v>
      </c>
      <c r="G61" s="61">
        <v>327191.81</v>
      </c>
      <c r="H61" s="61">
        <v>305703.49</v>
      </c>
      <c r="I61" s="61">
        <v>320179.39</v>
      </c>
      <c r="J61" s="61">
        <v>341569.91</v>
      </c>
      <c r="K61" s="61">
        <v>329061.49</v>
      </c>
    </row>
    <row r="62" spans="1:11" x14ac:dyDescent="0.25">
      <c r="A62" s="60" t="s">
        <v>142</v>
      </c>
      <c r="B62" s="61">
        <v>55511.73</v>
      </c>
      <c r="C62" s="61">
        <v>69091.67</v>
      </c>
      <c r="D62" s="61">
        <v>88479.49</v>
      </c>
      <c r="E62" s="61">
        <v>107231.76</v>
      </c>
      <c r="F62" s="61">
        <v>95944.08</v>
      </c>
      <c r="G62" s="61">
        <v>121413.86</v>
      </c>
      <c r="H62" s="61">
        <v>111234.47</v>
      </c>
      <c r="I62" s="61">
        <v>127107.14</v>
      </c>
      <c r="J62" s="61">
        <v>138707.60999999999</v>
      </c>
      <c r="K62" s="61">
        <v>138855.45000000001</v>
      </c>
    </row>
    <row r="63" spans="1:11" x14ac:dyDescent="0.25">
      <c r="A63" s="60" t="s">
        <v>143</v>
      </c>
      <c r="B63" s="61">
        <v>18453.55</v>
      </c>
      <c r="C63" s="61">
        <v>33262.559999999998</v>
      </c>
      <c r="D63" s="61">
        <v>28640.09</v>
      </c>
      <c r="E63" s="61">
        <v>25918.94</v>
      </c>
      <c r="F63" s="61">
        <v>33698.839999999997</v>
      </c>
      <c r="G63" s="61">
        <v>40033.5</v>
      </c>
      <c r="H63" s="61">
        <v>31883.84</v>
      </c>
      <c r="I63" s="61">
        <v>35622.29</v>
      </c>
      <c r="J63" s="61">
        <v>20963.93</v>
      </c>
      <c r="K63" s="61">
        <v>10251.09</v>
      </c>
    </row>
    <row r="64" spans="1:11" x14ac:dyDescent="0.25">
      <c r="A64" s="60" t="s">
        <v>144</v>
      </c>
      <c r="B64" s="61">
        <v>8764.73</v>
      </c>
      <c r="C64" s="64">
        <v>10686.67</v>
      </c>
      <c r="D64" s="61">
        <v>15336.74</v>
      </c>
      <c r="E64" s="61">
        <v>23767.02</v>
      </c>
      <c r="F64" s="61">
        <v>20337.919999999998</v>
      </c>
      <c r="G64" s="61">
        <v>20812.75</v>
      </c>
      <c r="H64" s="61">
        <v>15770.72</v>
      </c>
      <c r="I64" s="61">
        <v>16308.48</v>
      </c>
      <c r="J64" s="61">
        <v>24620.28</v>
      </c>
      <c r="K64" s="61">
        <v>29379.53</v>
      </c>
    </row>
    <row r="65" spans="1:11" x14ac:dyDescent="0.25">
      <c r="A65" s="60" t="s">
        <v>145</v>
      </c>
      <c r="B65" s="61">
        <v>85600.02</v>
      </c>
      <c r="C65" s="61">
        <v>105385.09</v>
      </c>
      <c r="D65" s="61">
        <v>104858.47</v>
      </c>
      <c r="E65" s="61">
        <v>106266.4</v>
      </c>
      <c r="F65" s="61">
        <v>122599.52</v>
      </c>
      <c r="G65" s="61">
        <v>144931.70000000001</v>
      </c>
      <c r="H65" s="61">
        <v>146814.46</v>
      </c>
      <c r="I65" s="61">
        <v>141141.48000000001</v>
      </c>
      <c r="J65" s="61">
        <v>157278.09</v>
      </c>
      <c r="K65" s="61">
        <v>150575.42000000001</v>
      </c>
    </row>
    <row r="66" spans="1:11" x14ac:dyDescent="0.25">
      <c r="A66" s="59" t="s">
        <v>64</v>
      </c>
      <c r="B66" s="61">
        <v>168330.03</v>
      </c>
      <c r="C66" s="61">
        <v>218425.99</v>
      </c>
      <c r="D66" s="61">
        <v>237314.79</v>
      </c>
      <c r="E66" s="61">
        <v>263184.12</v>
      </c>
      <c r="F66" s="61">
        <v>272580.36</v>
      </c>
      <c r="G66" s="61">
        <v>327191.81</v>
      </c>
      <c r="H66" s="61">
        <v>305703.49</v>
      </c>
      <c r="I66" s="61">
        <v>320179.39</v>
      </c>
      <c r="J66" s="61">
        <v>341569.91</v>
      </c>
      <c r="K66" s="61">
        <v>329061.49</v>
      </c>
    </row>
    <row r="67" spans="1:11" x14ac:dyDescent="0.25">
      <c r="A67" s="60" t="s">
        <v>146</v>
      </c>
      <c r="B67" s="61">
        <v>10959.6</v>
      </c>
      <c r="C67" s="61">
        <v>10574.23</v>
      </c>
      <c r="D67" s="61">
        <v>12579.2</v>
      </c>
      <c r="E67" s="61">
        <v>13570.91</v>
      </c>
      <c r="F67" s="61">
        <v>14075.55</v>
      </c>
      <c r="G67" s="61">
        <v>19893.3</v>
      </c>
      <c r="H67" s="61">
        <v>18996.169999999998</v>
      </c>
      <c r="I67" s="61">
        <v>11172.69</v>
      </c>
      <c r="J67" s="61">
        <v>12679.08</v>
      </c>
      <c r="K67" s="61">
        <v>12442.12</v>
      </c>
    </row>
    <row r="68" spans="1:11" x14ac:dyDescent="0.25">
      <c r="A68" s="60" t="s">
        <v>147</v>
      </c>
      <c r="B68" s="64">
        <v>21036.82</v>
      </c>
      <c r="C68" s="64">
        <v>27270.89</v>
      </c>
      <c r="D68" s="64">
        <v>29272.34</v>
      </c>
      <c r="E68" s="64">
        <v>32655.73</v>
      </c>
      <c r="F68" s="64">
        <v>35085.31</v>
      </c>
      <c r="G68" s="64">
        <v>42137.63</v>
      </c>
      <c r="H68" s="64">
        <v>39013.730000000003</v>
      </c>
      <c r="I68" s="64">
        <v>37456.879999999997</v>
      </c>
      <c r="J68" s="64">
        <v>36088.589999999997</v>
      </c>
      <c r="K68" s="64">
        <v>35240.339999999997</v>
      </c>
    </row>
    <row r="69" spans="1:11" x14ac:dyDescent="0.25">
      <c r="A69" s="60" t="s">
        <v>148</v>
      </c>
      <c r="B69" s="61">
        <v>21114.82</v>
      </c>
      <c r="C69" s="61">
        <v>29711.79</v>
      </c>
      <c r="D69" s="61">
        <v>32115.759999999998</v>
      </c>
      <c r="E69" s="61">
        <v>30460.400000000001</v>
      </c>
      <c r="F69" s="61">
        <v>36077.879999999997</v>
      </c>
      <c r="G69" s="61">
        <v>34613.910000000003</v>
      </c>
      <c r="H69" s="61">
        <v>32648.82</v>
      </c>
      <c r="I69" s="61">
        <v>33726.97</v>
      </c>
      <c r="J69" s="61">
        <v>46792.46</v>
      </c>
      <c r="K69" s="61">
        <v>40669.19</v>
      </c>
    </row>
    <row r="70" spans="1:11" x14ac:dyDescent="0.25">
      <c r="A70" s="60" t="s">
        <v>149</v>
      </c>
      <c r="B70" s="61">
        <v>3190115771</v>
      </c>
      <c r="C70" s="61">
        <v>3218930000</v>
      </c>
      <c r="D70" s="61">
        <v>3218930067</v>
      </c>
      <c r="E70" s="61">
        <v>3395930306</v>
      </c>
      <c r="F70" s="61">
        <v>3396100719</v>
      </c>
      <c r="G70" s="61">
        <v>3396100719</v>
      </c>
      <c r="H70" s="61">
        <v>3396100719</v>
      </c>
      <c r="I70" s="61">
        <v>3597726185</v>
      </c>
      <c r="J70" s="61">
        <v>3829060661</v>
      </c>
      <c r="K70" s="61">
        <v>3829414903</v>
      </c>
    </row>
    <row r="71" spans="1:11" ht="16.5" x14ac:dyDescent="0.3">
      <c r="A71" s="60" t="s">
        <v>150</v>
      </c>
      <c r="B71" s="66"/>
      <c r="C71" s="66"/>
      <c r="D71" s="58"/>
      <c r="E71" s="58"/>
      <c r="F71" s="58"/>
      <c r="G71" s="66"/>
      <c r="H71" s="66"/>
      <c r="I71" s="58"/>
      <c r="J71" s="58"/>
      <c r="K71" s="58"/>
    </row>
    <row r="72" spans="1:11" x14ac:dyDescent="0.25">
      <c r="A72" s="60" t="s">
        <v>151</v>
      </c>
      <c r="B72" s="61">
        <v>2</v>
      </c>
      <c r="C72" s="61">
        <v>2</v>
      </c>
      <c r="D72" s="61">
        <v>2</v>
      </c>
      <c r="E72" s="61">
        <v>2</v>
      </c>
      <c r="F72" s="61">
        <v>2</v>
      </c>
      <c r="G72" s="61">
        <v>2</v>
      </c>
      <c r="H72" s="61">
        <v>2</v>
      </c>
      <c r="I72" s="61">
        <v>2</v>
      </c>
      <c r="J72" s="61">
        <v>2</v>
      </c>
      <c r="K72" s="61">
        <v>2</v>
      </c>
    </row>
    <row r="73" spans="1:11" x14ac:dyDescent="0.25">
      <c r="A73" s="58"/>
      <c r="B73" s="58"/>
      <c r="C73" s="58"/>
      <c r="D73" s="58"/>
      <c r="E73" s="58"/>
      <c r="F73" s="58"/>
      <c r="G73" s="58"/>
      <c r="H73" s="60">
        <v>-4101.2599999999993</v>
      </c>
      <c r="I73" s="60">
        <v>22304.78</v>
      </c>
      <c r="J73" s="60">
        <v>17441.509999999987</v>
      </c>
      <c r="K73" s="60">
        <v>6045.1800000000258</v>
      </c>
    </row>
    <row r="80" spans="1:11" x14ac:dyDescent="0.25">
      <c r="A80" s="59" t="s">
        <v>152</v>
      </c>
      <c r="B80" s="58"/>
      <c r="C80" s="58"/>
      <c r="D80" s="58"/>
      <c r="E80" s="58"/>
      <c r="F80" s="58"/>
      <c r="G80" s="58"/>
      <c r="H80" s="58"/>
      <c r="I80" s="58"/>
      <c r="J80" s="58"/>
      <c r="K80" s="58"/>
    </row>
    <row r="81" spans="1:12" x14ac:dyDescent="0.25">
      <c r="A81" s="62" t="s">
        <v>116</v>
      </c>
      <c r="B81" s="63">
        <v>41364</v>
      </c>
      <c r="C81" s="63">
        <v>41729</v>
      </c>
      <c r="D81" s="63">
        <v>42094</v>
      </c>
      <c r="E81" s="63">
        <v>42460</v>
      </c>
      <c r="F81" s="63">
        <v>42825</v>
      </c>
      <c r="G81" s="63">
        <v>43190</v>
      </c>
      <c r="H81" s="63">
        <v>43555</v>
      </c>
      <c r="I81" s="63">
        <v>43921</v>
      </c>
      <c r="J81" s="63">
        <v>44286</v>
      </c>
      <c r="K81" s="63">
        <v>44651</v>
      </c>
      <c r="L81" s="63"/>
    </row>
    <row r="82" spans="1:12" x14ac:dyDescent="0.25">
      <c r="A82" s="60" t="s">
        <v>153</v>
      </c>
      <c r="B82" s="61">
        <v>22162.61</v>
      </c>
      <c r="C82" s="61">
        <v>36151.160000000003</v>
      </c>
      <c r="D82" s="61">
        <v>35531.26</v>
      </c>
      <c r="E82" s="61">
        <v>37899.54</v>
      </c>
      <c r="F82" s="61">
        <v>30199.25</v>
      </c>
      <c r="G82" s="61">
        <v>23857.42</v>
      </c>
      <c r="H82" s="61">
        <v>18890.75</v>
      </c>
      <c r="I82" s="61">
        <v>26632.94</v>
      </c>
      <c r="J82" s="61">
        <v>29000.51</v>
      </c>
      <c r="K82" s="61">
        <v>14282.83</v>
      </c>
      <c r="L82" s="59"/>
    </row>
    <row r="83" spans="1:12" x14ac:dyDescent="0.25">
      <c r="A83" s="60" t="s">
        <v>154</v>
      </c>
      <c r="B83" s="61">
        <v>-22969.45</v>
      </c>
      <c r="C83" s="61">
        <v>-27990.91</v>
      </c>
      <c r="D83" s="61">
        <v>-36232.35</v>
      </c>
      <c r="E83" s="61">
        <v>-36693.9</v>
      </c>
      <c r="F83" s="61">
        <v>-39571.4</v>
      </c>
      <c r="G83" s="61">
        <v>-25139.14</v>
      </c>
      <c r="H83" s="61">
        <v>-20878.07</v>
      </c>
      <c r="I83" s="61">
        <v>-33114.550000000003</v>
      </c>
      <c r="J83" s="61">
        <v>-25672.5</v>
      </c>
      <c r="K83" s="61">
        <v>-4443.66</v>
      </c>
      <c r="L83" s="58"/>
    </row>
    <row r="84" spans="1:12" x14ac:dyDescent="0.25">
      <c r="A84" s="60" t="s">
        <v>155</v>
      </c>
      <c r="B84" s="61">
        <v>-1692.08</v>
      </c>
      <c r="C84" s="61">
        <v>-3883.24</v>
      </c>
      <c r="D84" s="61">
        <v>5201.4399999999996</v>
      </c>
      <c r="E84" s="61">
        <v>-3795.12</v>
      </c>
      <c r="F84" s="61">
        <v>6205.3</v>
      </c>
      <c r="G84" s="61">
        <v>2011.71</v>
      </c>
      <c r="H84" s="61">
        <v>8830.3700000000008</v>
      </c>
      <c r="I84" s="61">
        <v>3389.61</v>
      </c>
      <c r="J84" s="61">
        <v>9904.2000000000007</v>
      </c>
      <c r="K84" s="61">
        <v>-3380.17</v>
      </c>
      <c r="L84" s="58"/>
    </row>
    <row r="85" spans="1:12" x14ac:dyDescent="0.25">
      <c r="A85" s="60" t="s">
        <v>156</v>
      </c>
      <c r="B85" s="61">
        <v>-2498.92</v>
      </c>
      <c r="C85" s="61">
        <v>4277.01</v>
      </c>
      <c r="D85" s="61">
        <v>4500.3500000000004</v>
      </c>
      <c r="E85" s="61">
        <v>-2589.48</v>
      </c>
      <c r="F85" s="61">
        <v>-3166.85</v>
      </c>
      <c r="G85" s="61">
        <v>729.99</v>
      </c>
      <c r="H85" s="61">
        <v>6843.05</v>
      </c>
      <c r="I85" s="61">
        <v>-3092</v>
      </c>
      <c r="J85" s="61">
        <v>13232.21</v>
      </c>
      <c r="K85" s="61">
        <v>6459</v>
      </c>
      <c r="L85" s="59"/>
    </row>
    <row r="90" spans="1:12" x14ac:dyDescent="0.25">
      <c r="A90" s="59" t="s">
        <v>157</v>
      </c>
      <c r="B90" s="61">
        <v>266.3</v>
      </c>
      <c r="C90" s="61">
        <v>394.42</v>
      </c>
      <c r="D90" s="61">
        <v>544.37</v>
      </c>
      <c r="E90" s="61">
        <v>386.6</v>
      </c>
      <c r="F90" s="61">
        <v>465.85</v>
      </c>
      <c r="G90" s="61">
        <v>326.85000000000002</v>
      </c>
      <c r="H90" s="61">
        <v>174.25</v>
      </c>
      <c r="I90" s="61">
        <v>71.05</v>
      </c>
      <c r="J90" s="61">
        <v>301.8</v>
      </c>
      <c r="K90" s="61">
        <v>433.75</v>
      </c>
      <c r="L90" s="59"/>
    </row>
    <row r="92" spans="1:12" x14ac:dyDescent="0.25">
      <c r="A92" s="59" t="s">
        <v>158</v>
      </c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</row>
    <row r="93" spans="1:12" x14ac:dyDescent="0.25">
      <c r="A93" s="60" t="s">
        <v>159</v>
      </c>
      <c r="B93" s="67">
        <v>285.72000000000003</v>
      </c>
      <c r="C93" s="67">
        <v>288.74</v>
      </c>
      <c r="D93" s="67">
        <v>288.74</v>
      </c>
      <c r="E93" s="67">
        <v>288.72000000000003</v>
      </c>
      <c r="F93" s="67">
        <v>288.73</v>
      </c>
      <c r="G93" s="67">
        <v>288.73</v>
      </c>
      <c r="H93" s="67">
        <v>288.73</v>
      </c>
      <c r="I93" s="67">
        <v>308.89999999999998</v>
      </c>
      <c r="J93" s="67">
        <v>332.03</v>
      </c>
      <c r="K93" s="67">
        <v>332.07</v>
      </c>
      <c r="L93" s="58"/>
    </row>
  </sheetData>
  <mergeCells count="2">
    <mergeCell ref="E1:K1"/>
    <mergeCell ref="E2:K2"/>
  </mergeCells>
  <hyperlinks>
    <hyperlink ref="E1:K1" r:id="rId1" display="https://www.screener.in/excel/" xr:uid="{53704CA6-975E-49B1-B117-50092339EC0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DCF&gt;</vt:lpstr>
      <vt:lpstr>WACC</vt:lpstr>
      <vt:lpstr>Data&gt;</vt:lpstr>
      <vt:lpstr>Beta - Regression</vt:lpstr>
      <vt:lpstr>Beta - Comps</vt:lpstr>
      <vt:lpstr>Rm</vt:lpstr>
      <vt:lpstr>Intrinsic Growth</vt:lpstr>
      <vt:lpstr>HistoricalFS</vt:lpstr>
      <vt:lpstr>Raw FS</vt:lpstr>
      <vt:lpstr>Data Room&gt;</vt:lpstr>
      <vt:lpstr>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 Mittal</dc:creator>
  <cp:lastModifiedBy>Harsh Mittal</cp:lastModifiedBy>
  <cp:lastPrinted>2026-01-29T22:04:50Z</cp:lastPrinted>
  <dcterms:created xsi:type="dcterms:W3CDTF">2026-01-28T17:04:02Z</dcterms:created>
  <dcterms:modified xsi:type="dcterms:W3CDTF">2026-02-05T13:10:20Z</dcterms:modified>
</cp:coreProperties>
</file>