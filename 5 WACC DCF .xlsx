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ncial Modelling\"/>
    </mc:Choice>
  </mc:AlternateContent>
  <xr:revisionPtr revIDLastSave="0" documentId="13_ncr:1_{5862463E-CF64-44A1-9A6A-85F2960AF033}" xr6:coauthVersionLast="47" xr6:coauthVersionMax="47" xr10:uidLastSave="{00000000-0000-0000-0000-000000000000}"/>
  <bookViews>
    <workbookView xWindow="-120" yWindow="-120" windowWidth="20730" windowHeight="11760" activeTab="1" xr2:uid="{F1058F07-682E-41D9-BC79-321BBF32C8AE}"/>
  </bookViews>
  <sheets>
    <sheet name="DCF&gt;" sheetId="4" r:id="rId1"/>
    <sheet name="WACC" sheetId="1" r:id="rId2"/>
    <sheet name="Data&gt;" sheetId="2" r:id="rId3"/>
    <sheet name="Beta - Regression" sheetId="3" r:id="rId4"/>
    <sheet name="Beta - Comps" sheetId="5" r:id="rId5"/>
    <sheet name="Rm" sheetId="6" r:id="rId6"/>
  </sheets>
  <definedNames>
    <definedName name="_xlnm._FilterDatabase" localSheetId="3" hidden="1">'Beta - Regression'!$B$9:$D$114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" i="1" l="1"/>
  <c r="K42" i="1"/>
  <c r="J43" i="1"/>
  <c r="K43" i="1"/>
  <c r="E26" i="1"/>
  <c r="K29" i="1"/>
  <c r="K27" i="1"/>
  <c r="F11" i="6"/>
  <c r="F9" i="6"/>
  <c r="K37" i="1"/>
  <c r="C36" i="1"/>
  <c r="C35" i="1"/>
  <c r="E35" i="1"/>
  <c r="K34" i="1"/>
  <c r="K21" i="1"/>
  <c r="J21" i="1"/>
  <c r="J20" i="1"/>
  <c r="I21" i="1"/>
  <c r="J14" i="1"/>
  <c r="E15" i="1"/>
  <c r="E16" i="1"/>
  <c r="E17" i="1"/>
  <c r="E18" i="1"/>
  <c r="E14" i="1"/>
  <c r="F15" i="1"/>
  <c r="F16" i="1"/>
  <c r="F17" i="1"/>
  <c r="F18" i="1"/>
  <c r="F14" i="1"/>
  <c r="J15" i="3"/>
  <c r="J13" i="3"/>
  <c r="J9" i="3"/>
  <c r="M10" i="3"/>
  <c r="G11" i="3" l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" i="3"/>
  <c r="G21" i="1"/>
  <c r="K36" i="1"/>
  <c r="C37" i="1"/>
  <c r="D35" i="1" s="1"/>
  <c r="E28" i="1"/>
  <c r="G20" i="1"/>
  <c r="H14" i="1"/>
  <c r="K14" i="1" s="1"/>
  <c r="I18" i="1"/>
  <c r="I17" i="1"/>
  <c r="I16" i="1"/>
  <c r="I15" i="1"/>
  <c r="I14" i="1"/>
  <c r="H18" i="1"/>
  <c r="K18" i="1" s="1"/>
  <c r="H17" i="1"/>
  <c r="K17" i="1" s="1"/>
  <c r="H16" i="1"/>
  <c r="K16" i="1" s="1"/>
  <c r="H15" i="1"/>
  <c r="K15" i="1" s="1"/>
  <c r="H21" i="1" l="1"/>
  <c r="M7" i="3"/>
  <c r="M8" i="3"/>
  <c r="D36" i="1"/>
  <c r="D39" i="1" s="1"/>
  <c r="I20" i="1"/>
  <c r="H20" i="1"/>
  <c r="K20" i="1"/>
  <c r="D37" i="1" l="1"/>
  <c r="E37" i="1" s="1"/>
  <c r="E36" i="1" s="1"/>
  <c r="E39" i="1" l="1"/>
  <c r="K35" i="1" s="1"/>
  <c r="K28" i="1" s="1"/>
  <c r="K44" i="1" s="1"/>
</calcChain>
</file>

<file path=xl/sharedStrings.xml><?xml version="1.0" encoding="utf-8"?>
<sst xmlns="http://schemas.openxmlformats.org/spreadsheetml/2006/main" count="125" uniqueCount="105">
  <si>
    <t>Weighted Average Cost of Capital</t>
  </si>
  <si>
    <t>All figures are in INR unless stated otherwise.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</si>
  <si>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</si>
  <si>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</si>
  <si>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</si>
  <si>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</si>
  <si>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</si>
  <si>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</si>
  <si>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</si>
  <si>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</si>
  <si>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</si>
  <si>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</si>
  <si>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</si>
  <si>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</si>
  <si>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Debt /</t>
  </si>
  <si>
    <t>India</t>
  </si>
  <si>
    <t>Average</t>
  </si>
  <si>
    <t>Median</t>
  </si>
  <si>
    <t>Tax Rate</t>
  </si>
  <si>
    <t>Post Tax Cost of Debt</t>
  </si>
  <si>
    <t>Pre - Tax Cost of Debt</t>
  </si>
  <si>
    <t>Cost of Equity</t>
  </si>
  <si>
    <t>Cost of Debt</t>
  </si>
  <si>
    <t>Risk Free Rate</t>
  </si>
  <si>
    <t>Equity Risk Premium</t>
  </si>
  <si>
    <t>Levered Beta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</si>
  <si>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</si>
  <si>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</si>
  <si>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 xml:space="preserve">Current </t>
  </si>
  <si>
    <t>Target</t>
  </si>
  <si>
    <t>Market Capitalization</t>
  </si>
  <si>
    <t>Total Capital</t>
  </si>
  <si>
    <t>Comps Median Unlivered Beta</t>
  </si>
  <si>
    <t>Target Debt / Equity</t>
  </si>
  <si>
    <t>Debt / Equity</t>
  </si>
  <si>
    <t>Debt</t>
  </si>
  <si>
    <t>Total Cost</t>
  </si>
  <si>
    <t>Total Weight</t>
  </si>
  <si>
    <t>Notes:</t>
  </si>
  <si>
    <t>1. Tax Rate Considered as Marginal Tax Rate for the country</t>
  </si>
  <si>
    <t>2. Levered beta is based on 5 year monthly data</t>
  </si>
  <si>
    <t>3. Unlevered beta = Levered beta/(1+(1-Tax Rate)*Debt/Equity)</t>
  </si>
  <si>
    <t>4. Unlevered beta = Levered beta*(1+(1-Tax Rate)*Debt/Equity)</t>
  </si>
  <si>
    <t>Da</t>
  </si>
  <si>
    <t>Date</t>
  </si>
  <si>
    <t>Closing Price</t>
  </si>
  <si>
    <t>Avenue Supermart Weekly Returns</t>
  </si>
  <si>
    <t xml:space="preserve"> Return</t>
  </si>
  <si>
    <t>Nifty Returns</t>
  </si>
  <si>
    <t xml:space="preserve">Beta 1 </t>
  </si>
  <si>
    <t>Beta 2</t>
  </si>
  <si>
    <t>Beta 3</t>
  </si>
  <si>
    <t>(Slope)</t>
  </si>
  <si>
    <t>(Covariance)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</si>
  <si>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</si>
  <si>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</si>
  <si>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</si>
  <si>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</si>
  <si>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</si>
  <si>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</si>
  <si>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</si>
  <si>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</si>
  <si>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</si>
  <si>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</si>
  <si>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</si>
  <si>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</si>
  <si>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</si>
  <si>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</si>
  <si>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</si>
  <si>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</si>
  <si>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</si>
  <si>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</si>
  <si>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</si>
  <si>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</si>
  <si>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</si>
  <si>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</si>
  <si>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</si>
  <si>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</si>
  <si>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</si>
  <si>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</si>
  <si>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</si>
  <si>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</si>
  <si>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</si>
  <si>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>Market Beta</t>
  </si>
  <si>
    <t>Adjusted Beta</t>
  </si>
  <si>
    <t>Regression Beta - 2 Years Weekly</t>
  </si>
  <si>
    <t>S.No.</t>
  </si>
  <si>
    <t>Name</t>
  </si>
  <si>
    <t>CMP Rs.</t>
  </si>
  <si>
    <t>Mar Cap Rs.Cr.</t>
  </si>
  <si>
    <t>Debt Rs.Cr.</t>
  </si>
  <si>
    <t>Debt / Eq</t>
  </si>
  <si>
    <t>Avenue Super.</t>
  </si>
  <si>
    <t>Trent</t>
  </si>
  <si>
    <t>Vedant Fashions</t>
  </si>
  <si>
    <t>Aditya Bir. Fas.</t>
  </si>
  <si>
    <t>Metro Brands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</si>
  <si>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</si>
  <si>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</si>
  <si>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</si>
  <si>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</si>
  <si>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</si>
  <si>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</si>
  <si>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</t>
  </si>
  <si>
    <t>Interest/debt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</si>
</sst>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3" formatCode="#,##0.0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rgb="FF1E4E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2" borderId="0" xfId="0" applyFill="1"/>
    <xf numFmtId="9" fontId="4" fillId="0" borderId="0" xfId="1" applyFont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6" fillId="0" borderId="0" xfId="0" applyFont="1"/>
    <xf numFmtId="10" fontId="0" fillId="0" borderId="0" xfId="1" applyNumberFormat="1" applyFont="1"/>
    <xf numFmtId="10" fontId="0" fillId="3" borderId="0" xfId="1" applyNumberFormat="1" applyFont="1" applyFill="1"/>
    <xf numFmtId="2" fontId="0" fillId="3" borderId="0" xfId="1" applyNumberFormat="1" applyFont="1" applyFill="1"/>
    <xf numFmtId="0" fontId="2" fillId="0" borderId="1" xfId="0" applyFont="1" applyBorder="1"/>
    <xf numFmtId="0" fontId="2" fillId="0" borderId="2" xfId="0" applyFont="1" applyBorder="1"/>
    <xf numFmtId="10" fontId="0" fillId="0" borderId="2" xfId="1" applyNumberFormat="1" applyFont="1" applyBorder="1"/>
    <xf numFmtId="2" fontId="0" fillId="0" borderId="1" xfId="0" applyNumberFormat="1" applyBorder="1"/>
    <xf numFmtId="10" fontId="0" fillId="0" borderId="1" xfId="1" applyNumberFormat="1" applyFont="1" applyBorder="1"/>
    <xf numFmtId="10" fontId="6" fillId="0" borderId="0" xfId="1" applyNumberFormat="1" applyFont="1"/>
    <xf numFmtId="10" fontId="0" fillId="0" borderId="1" xfId="0" applyNumberFormat="1" applyBorder="1"/>
    <xf numFmtId="10" fontId="0" fillId="0" borderId="2" xfId="0" applyNumberFormat="1" applyBorder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2" fillId="0" borderId="2" xfId="0" applyFont="1" applyBorder="1" applyAlignment="1">
      <alignment horizontal="right"/>
    </xf>
    <xf numFmtId="10" fontId="6" fillId="0" borderId="0" xfId="0" applyNumberFormat="1" applyFont="1"/>
    <xf numFmtId="10" fontId="0" fillId="0" borderId="3" xfId="1" applyNumberFormat="1" applyFont="1" applyBorder="1"/>
    <xf numFmtId="10" fontId="0" fillId="3" borderId="0" xfId="0" applyNumberFormat="1" applyFill="1"/>
    <xf numFmtId="2" fontId="0" fillId="0" borderId="0" xfId="0" applyNumberFormat="1"/>
    <xf numFmtId="10" fontId="0" fillId="3" borderId="3" xfId="0" applyNumberFormat="1" applyFill="1" applyBorder="1"/>
    <xf numFmtId="2" fontId="0" fillId="3" borderId="3" xfId="0" applyNumberFormat="1" applyFill="1" applyBorder="1"/>
    <xf numFmtId="164" fontId="6" fillId="0" borderId="0" xfId="0" applyNumberFormat="1" applyFont="1"/>
    <xf numFmtId="164" fontId="0" fillId="0" borderId="3" xfId="0" applyNumberFormat="1" applyBorder="1"/>
    <xf numFmtId="0" fontId="7" fillId="0" borderId="0" xfId="0" applyFont="1"/>
    <xf numFmtId="0" fontId="7" fillId="0" borderId="0" xfId="0" applyFont="1" applyAlignment="1">
      <alignment vertical="top"/>
    </xf>
    <xf numFmtId="0" fontId="2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right"/>
    </xf>
    <xf numFmtId="0" fontId="0" fillId="0" borderId="0" xfId="0"/>
    <xf numFmtId="0" fontId="2" fillId="0" borderId="0" xfId="0" applyFont="1"/>
    <xf numFmtId="2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2" fontId="0" fillId="0" borderId="1" xfId="0" applyNumberFormat="1" applyBorder="1"/>
    <xf numFmtId="10" fontId="0" fillId="0" borderId="2" xfId="1" applyNumberFormat="1" applyFont="1" applyBorder="1"/>
    <xf numFmtId="2" fontId="0" fillId="0" borderId="2" xfId="0" applyNumberFormat="1" applyBorder="1"/>
    <xf numFmtId="2" fontId="0" fillId="3" borderId="0" xfId="0" applyNumberFormat="1" applyFill="1"/>
    <xf numFmtId="0" fontId="0" fillId="3" borderId="0" xfId="0" applyFill="1"/>
    <xf numFmtId="0" fontId="7" fillId="0" borderId="0" xfId="0" applyFont="1"/>
    <xf numFmtId="173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/>
    <xf numFmtId="0" fontId="9" fillId="0" borderId="0" xfId="0" applyFont="1" applyFill="1"/>
    <xf numFmtId="0" fontId="0" fillId="0" borderId="0" xfId="0" applyFill="1"/>
    <xf numFmtId="0" fontId="8" fillId="4" borderId="0" xfId="0" applyFont="1" applyFill="1" applyAlignment="1">
      <alignment horizontal="center"/>
    </xf>
    <xf numFmtId="0" fontId="8" fillId="0" borderId="0" xfId="0" applyFont="1" applyFill="1" applyAlignment="1"/>
    <xf numFmtId="2" fontId="0" fillId="0" borderId="0" xfId="0" applyNumberFormat="1" applyFill="1"/>
    <xf numFmtId="0" fontId="0" fillId="0" borderId="0" xfId="0" applyFill="1" applyBorder="1" applyAlignment="1"/>
    <xf numFmtId="0" fontId="0" fillId="0" borderId="5" xfId="0" applyFill="1" applyBorder="1" applyAlignment="1"/>
    <xf numFmtId="0" fontId="10" fillId="0" borderId="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Continuous"/>
    </xf>
    <xf numFmtId="0" fontId="2" fillId="0" borderId="5" xfId="0" applyFont="1" applyFill="1" applyBorder="1" applyAlignment="1"/>
    <xf numFmtId="1" fontId="0" fillId="0" borderId="0" xfId="0" applyNumberFormat="1"/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horizontal="right" wrapText="1"/>
    </xf>
    <xf numFmtId="2" fontId="6" fillId="0" borderId="0" xfId="0" applyNumberFormat="1" applyFont="1"/>
    <xf numFmtId="0" fontId="8" fillId="0" borderId="0" xfId="0" applyFont="1" applyFill="1" applyAlignment="1">
      <alignment horizontal="center"/>
    </xf>
    <xf numFmtId="0" fontId="2" fillId="0" borderId="3" xfId="0" applyFont="1" applyBorder="1"/>
    <xf numFmtId="10" fontId="2" fillId="0" borderId="3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8554-AA4A-4B19-AD35-C5FAF440B924}">
  <sheetPr>
    <tabColor rgb="FF002060"/>
  </sheetPr>
  <dimension ref="A1"/>
  <sheetViews>
    <sheetView workbookViewId="0">
      <selection activeCell="H20" sqref="H2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D5AB-03DF-45B6-8507-909C15B272FA}">
  <sheetPr>
    <pageSetUpPr fitToPage="1"/>
  </sheetPr>
  <dimension ref="B6:P45"/>
  <sheetViews>
    <sheetView showGridLines="0" tabSelected="1" topLeftCell="A5" zoomScale="106" workbookViewId="0">
      <selection activeCell="C9" sqref="C9"/>
    </sheetView>
  </sheetViews>
  <sheetFormatPr defaultRowHeight="15" x14ac:dyDescent="0.25"/>
  <cols>
    <col min="1" max="1" width="2.28515625" customWidth="1"/>
    <col min="2" max="2" width="40.28515625" bestFit="1" customWidth="1"/>
    <col min="3" max="3" width="9.140625" bestFit="1" customWidth="1"/>
    <col min="4" max="4" width="10.28515625" bestFit="1" customWidth="1"/>
    <col min="5" max="5" width="11.42578125" bestFit="1" customWidth="1"/>
    <col min="6" max="6" width="9.85546875" bestFit="1" customWidth="1"/>
    <col min="7" max="7" width="15.28515625" customWidth="1"/>
    <col min="8" max="8" width="10.7109375" customWidth="1"/>
    <col min="9" max="9" width="8.140625" bestFit="1" customWidth="1"/>
    <col min="10" max="10" width="10.28515625" bestFit="1" customWidth="1"/>
    <col min="11" max="11" width="10" bestFit="1" customWidth="1"/>
    <col min="12" max="12" width="21.85546875" bestFit="1" customWidth="1"/>
  </cols>
  <sheetData>
    <row r="6" spans="2:16" ht="18.75" x14ac:dyDescent="0.3"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53"/>
      <c r="M6" s="53"/>
      <c r="N6" s="53"/>
      <c r="O6" s="53"/>
      <c r="P6" s="53"/>
    </row>
    <row r="8" spans="2:16" x14ac:dyDescent="0.25">
      <c r="B8" s="4" t="s">
        <v>1</v>
      </c>
    </row>
    <row r="10" spans="2:16" x14ac:dyDescent="0.25">
      <c r="B10" s="1" t="s">
        <v>2</v>
      </c>
    </row>
    <row r="11" spans="2:16" x14ac:dyDescent="0.25">
      <c r="B11" s="5"/>
      <c r="C11" s="5"/>
      <c r="D11" s="5"/>
      <c r="E11" s="5"/>
      <c r="F11" s="5"/>
      <c r="G11" s="5"/>
      <c r="H11" s="5" t="s">
        <v>14</v>
      </c>
      <c r="I11" s="5" t="s">
        <v>14</v>
      </c>
      <c r="J11" s="5" t="s">
        <v>10</v>
      </c>
      <c r="K11" s="5" t="s">
        <v>11</v>
      </c>
    </row>
    <row r="12" spans="2:16" ht="17.25" x14ac:dyDescent="0.25">
      <c r="B12" s="6" t="s">
        <v>3</v>
      </c>
      <c r="C12" s="6"/>
      <c r="D12" s="6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  <c r="J12" s="6" t="s">
        <v>12</v>
      </c>
      <c r="K12" s="6" t="s">
        <v>13</v>
      </c>
    </row>
    <row r="14" spans="2:16" x14ac:dyDescent="0.25">
      <c r="B14" s="8" t="s">
        <v>92</v>
      </c>
      <c r="C14" s="8"/>
      <c r="D14" s="8" t="s">
        <v>15</v>
      </c>
      <c r="E14" s="30">
        <f>'Beta - Comps'!F6</f>
        <v>710.83</v>
      </c>
      <c r="F14" s="30">
        <f>'Beta - Comps'!E6</f>
        <v>228379.45</v>
      </c>
      <c r="G14" s="17">
        <v>0.3</v>
      </c>
      <c r="H14" s="10">
        <f>E14/F14</f>
        <v>3.1124954543852346E-3</v>
      </c>
      <c r="I14" s="10">
        <f>E14/(E14+F14)</f>
        <v>3.1028378855707021E-3</v>
      </c>
      <c r="J14" s="65">
        <f>'Beta - Regression'!J9</f>
        <v>1.2421252296486511</v>
      </c>
      <c r="K14" s="11">
        <f>J14/(1+(1-G14)*H14)</f>
        <v>1.2394248367293905</v>
      </c>
    </row>
    <row r="15" spans="2:16" x14ac:dyDescent="0.25">
      <c r="B15" s="8" t="s">
        <v>93</v>
      </c>
      <c r="C15" s="8"/>
      <c r="D15" s="8" t="s">
        <v>15</v>
      </c>
      <c r="E15" s="30">
        <f>'Beta - Comps'!F7</f>
        <v>4525.96</v>
      </c>
      <c r="F15" s="30">
        <f>'Beta - Comps'!E7</f>
        <v>47567.78</v>
      </c>
      <c r="G15" s="17">
        <v>0.3</v>
      </c>
      <c r="H15" s="10">
        <f t="shared" ref="H15:H18" si="0">E15/F15</f>
        <v>9.5147597806750708E-2</v>
      </c>
      <c r="I15" s="10">
        <f t="shared" ref="I15:I18" si="1">E15/(E15+F15)</f>
        <v>8.6881072466672579E-2</v>
      </c>
      <c r="J15" s="8">
        <v>1.4</v>
      </c>
      <c r="K15" s="11">
        <f t="shared" ref="K15:K18" si="2">J15/(1+(1-G15)*H15)</f>
        <v>1.3125779526123802</v>
      </c>
    </row>
    <row r="16" spans="2:16" x14ac:dyDescent="0.25">
      <c r="B16" s="8" t="s">
        <v>94</v>
      </c>
      <c r="C16" s="8"/>
      <c r="D16" s="8" t="s">
        <v>15</v>
      </c>
      <c r="E16" s="30">
        <f>'Beta - Comps'!F8</f>
        <v>248.92</v>
      </c>
      <c r="F16" s="30">
        <f>'Beta - Comps'!E8</f>
        <v>28378.34</v>
      </c>
      <c r="G16" s="17">
        <v>0.3</v>
      </c>
      <c r="H16" s="10">
        <f t="shared" si="0"/>
        <v>8.7714785290471525E-3</v>
      </c>
      <c r="I16" s="10">
        <f t="shared" si="1"/>
        <v>8.6952086926936067E-3</v>
      </c>
      <c r="J16" s="8">
        <v>1.37</v>
      </c>
      <c r="K16" s="11">
        <f t="shared" si="2"/>
        <v>1.3616394859393461</v>
      </c>
    </row>
    <row r="17" spans="2:11" x14ac:dyDescent="0.25">
      <c r="B17" s="8" t="s">
        <v>95</v>
      </c>
      <c r="C17" s="8"/>
      <c r="D17" s="8" t="s">
        <v>15</v>
      </c>
      <c r="E17" s="30">
        <f>'Beta - Comps'!F9</f>
        <v>4617.57</v>
      </c>
      <c r="F17" s="30">
        <f>'Beta - Comps'!E9</f>
        <v>23395.42</v>
      </c>
      <c r="G17" s="17">
        <v>0.3</v>
      </c>
      <c r="H17" s="10">
        <f t="shared" si="0"/>
        <v>0.1973706819539893</v>
      </c>
      <c r="I17" s="10">
        <f t="shared" si="1"/>
        <v>0.16483674181156671</v>
      </c>
      <c r="J17" s="8">
        <v>1.23</v>
      </c>
      <c r="K17" s="11">
        <f t="shared" si="2"/>
        <v>1.080692138894811</v>
      </c>
    </row>
    <row r="18" spans="2:11" x14ac:dyDescent="0.25">
      <c r="B18" s="8" t="s">
        <v>96</v>
      </c>
      <c r="C18" s="8"/>
      <c r="D18" s="8" t="s">
        <v>15</v>
      </c>
      <c r="E18" s="30">
        <f>'Beta - Comps'!F10</f>
        <v>805.48</v>
      </c>
      <c r="F18" s="30">
        <f>'Beta - Comps'!E10</f>
        <v>23076.59</v>
      </c>
      <c r="G18" s="17">
        <v>0.3</v>
      </c>
      <c r="H18" s="10">
        <f t="shared" si="0"/>
        <v>3.4904637123595816E-2</v>
      </c>
      <c r="I18" s="10">
        <f t="shared" si="1"/>
        <v>3.3727394652138615E-2</v>
      </c>
      <c r="J18" s="8">
        <v>1.41</v>
      </c>
      <c r="K18" s="11">
        <f t="shared" si="2"/>
        <v>1.3763707938257965</v>
      </c>
    </row>
    <row r="20" spans="2:11" x14ac:dyDescent="0.25">
      <c r="F20" s="12" t="s">
        <v>16</v>
      </c>
      <c r="G20" s="18">
        <f t="shared" ref="G20:K21" si="3">AVERAGE(G14:G18)</f>
        <v>0.3</v>
      </c>
      <c r="H20" s="16">
        <f t="shared" si="3"/>
        <v>6.7861378173553644E-2</v>
      </c>
      <c r="I20" s="16">
        <f t="shared" si="3"/>
        <v>5.9448651101728436E-2</v>
      </c>
      <c r="J20" s="42">
        <f>AVERAGE(J14:J18)</f>
        <v>1.3304250459297304</v>
      </c>
      <c r="K20" s="15">
        <f t="shared" si="3"/>
        <v>1.2741410416003449</v>
      </c>
    </row>
    <row r="21" spans="2:11" x14ac:dyDescent="0.25">
      <c r="F21" s="13" t="s">
        <v>17</v>
      </c>
      <c r="G21" s="19">
        <f t="shared" si="3"/>
        <v>0.3</v>
      </c>
      <c r="H21" s="14">
        <f t="shared" si="3"/>
        <v>8.4048598853345743E-2</v>
      </c>
      <c r="I21" s="43">
        <f>MEDIAN(I14:I18)</f>
        <v>3.3727394652138615E-2</v>
      </c>
      <c r="J21" s="44">
        <f>MEDIAN(J14:J18)</f>
        <v>1.37</v>
      </c>
      <c r="K21" s="44">
        <f>MEDIAN(K14:K18)</f>
        <v>1.3125779526123802</v>
      </c>
    </row>
    <row r="24" spans="2:11" x14ac:dyDescent="0.25">
      <c r="B24" s="13" t="s">
        <v>22</v>
      </c>
      <c r="C24" s="6"/>
      <c r="D24" s="6"/>
      <c r="E24" s="6"/>
      <c r="G24" s="13" t="s">
        <v>21</v>
      </c>
      <c r="H24" s="6"/>
      <c r="I24" s="6"/>
      <c r="J24" s="6"/>
      <c r="K24" s="6"/>
    </row>
    <row r="26" spans="2:11" x14ac:dyDescent="0.25">
      <c r="B26" t="s">
        <v>20</v>
      </c>
      <c r="C26" s="47" t="s">
        <v>104</v>
      </c>
      <c r="E26" s="24">
        <f>69/710</f>
        <v>9.7183098591549291E-2</v>
      </c>
      <c r="G26" t="s">
        <v>23</v>
      </c>
      <c r="K26" s="24">
        <v>7.3910000000000003E-2</v>
      </c>
    </row>
    <row r="27" spans="2:11" x14ac:dyDescent="0.25">
      <c r="B27" t="s">
        <v>18</v>
      </c>
      <c r="E27" s="24">
        <v>0.3</v>
      </c>
      <c r="G27" t="s">
        <v>24</v>
      </c>
      <c r="K27" s="24">
        <f>Rm!F11-WACC!K26</f>
        <v>7.75823076923077E-2</v>
      </c>
    </row>
    <row r="28" spans="2:11" ht="17.25" x14ac:dyDescent="0.25">
      <c r="B28" s="21" t="s">
        <v>19</v>
      </c>
      <c r="C28" s="21"/>
      <c r="D28" s="21"/>
      <c r="E28" s="22">
        <f>E26*(1-E27)</f>
        <v>6.8028169014084497E-2</v>
      </c>
      <c r="G28" t="s">
        <v>26</v>
      </c>
      <c r="K28" s="27">
        <f>K37</f>
        <v>1.6814624297235128</v>
      </c>
    </row>
    <row r="29" spans="2:11" x14ac:dyDescent="0.25">
      <c r="G29" s="21" t="s">
        <v>21</v>
      </c>
      <c r="H29" s="21"/>
      <c r="I29" s="21"/>
      <c r="J29" s="21"/>
      <c r="K29" s="28">
        <f>K26+(K27*K28)</f>
        <v>0.20436173559586487</v>
      </c>
    </row>
    <row r="32" spans="2:11" x14ac:dyDescent="0.25">
      <c r="B32" s="13" t="s">
        <v>27</v>
      </c>
      <c r="C32" s="13"/>
      <c r="D32" s="13"/>
      <c r="E32" s="6"/>
      <c r="G32" s="13" t="s">
        <v>25</v>
      </c>
      <c r="H32" s="13"/>
      <c r="I32" s="13"/>
      <c r="J32" s="6"/>
      <c r="K32" s="6"/>
    </row>
    <row r="34" spans="2:11" x14ac:dyDescent="0.25">
      <c r="D34" s="23" t="s">
        <v>28</v>
      </c>
      <c r="E34" s="23" t="s">
        <v>29</v>
      </c>
      <c r="G34" t="s">
        <v>32</v>
      </c>
      <c r="K34" s="27">
        <f>K21</f>
        <v>1.3125779526123802</v>
      </c>
    </row>
    <row r="35" spans="2:11" x14ac:dyDescent="0.25">
      <c r="B35" t="s">
        <v>5</v>
      </c>
      <c r="C35" s="30">
        <f>E14</f>
        <v>710.83</v>
      </c>
      <c r="D35" s="9">
        <f>C35/$C$37</f>
        <v>3.1028378855707021E-3</v>
      </c>
      <c r="E35" s="24">
        <f>I20</f>
        <v>5.9448651101728436E-2</v>
      </c>
      <c r="G35" t="s">
        <v>33</v>
      </c>
      <c r="K35" s="7">
        <f>E39</f>
        <v>6.3206172817001943E-2</v>
      </c>
    </row>
    <row r="36" spans="2:11" x14ac:dyDescent="0.25">
      <c r="B36" t="s">
        <v>30</v>
      </c>
      <c r="C36" s="30">
        <f>F14</f>
        <v>228379.45</v>
      </c>
      <c r="D36" s="9">
        <f>C36/$C$37</f>
        <v>0.99689716211442936</v>
      </c>
      <c r="E36" s="7">
        <f>E37-E35</f>
        <v>0.94055134889827152</v>
      </c>
      <c r="G36" t="s">
        <v>18</v>
      </c>
      <c r="K36" s="20">
        <f>E27</f>
        <v>0.3</v>
      </c>
    </row>
    <row r="37" spans="2:11" x14ac:dyDescent="0.25">
      <c r="B37" s="21" t="s">
        <v>31</v>
      </c>
      <c r="C37" s="31">
        <f>SUM(C35:C36)</f>
        <v>229090.28</v>
      </c>
      <c r="D37" s="25">
        <f>SUM(D35:D36)</f>
        <v>1</v>
      </c>
      <c r="E37" s="25">
        <f>D37</f>
        <v>1</v>
      </c>
      <c r="G37" s="21" t="s">
        <v>25</v>
      </c>
      <c r="H37" s="21"/>
      <c r="I37" s="21"/>
      <c r="J37" s="21"/>
      <c r="K37" s="29">
        <f>K34*(1+(1-K35)*K36)</f>
        <v>1.6814624297235128</v>
      </c>
    </row>
    <row r="39" spans="2:11" x14ac:dyDescent="0.25">
      <c r="B39" t="s">
        <v>34</v>
      </c>
      <c r="D39" s="26">
        <f>D35/D36</f>
        <v>3.112495454385235E-3</v>
      </c>
      <c r="E39" s="26">
        <f>E35/E36</f>
        <v>6.3206172817001943E-2</v>
      </c>
      <c r="G39" s="13" t="s">
        <v>0</v>
      </c>
      <c r="H39" s="13"/>
      <c r="I39" s="13"/>
      <c r="J39" s="6"/>
      <c r="K39" s="6"/>
    </row>
    <row r="41" spans="2:11" x14ac:dyDescent="0.25">
      <c r="B41" s="32" t="s">
        <v>38</v>
      </c>
      <c r="J41" s="6" t="s">
        <v>36</v>
      </c>
      <c r="K41" s="6" t="s">
        <v>37</v>
      </c>
    </row>
    <row r="42" spans="2:11" x14ac:dyDescent="0.25">
      <c r="B42" s="33" t="s">
        <v>39</v>
      </c>
      <c r="G42" t="s">
        <v>35</v>
      </c>
      <c r="J42" s="7">
        <f>E28</f>
        <v>6.8028169014084497E-2</v>
      </c>
      <c r="K42" s="7">
        <f>E35</f>
        <v>5.9448651101728436E-2</v>
      </c>
    </row>
    <row r="43" spans="2:11" x14ac:dyDescent="0.25">
      <c r="B43" s="33" t="s">
        <v>40</v>
      </c>
      <c r="G43" t="s">
        <v>8</v>
      </c>
      <c r="J43" s="7">
        <f>K29</f>
        <v>0.20436173559586487</v>
      </c>
      <c r="K43" s="7">
        <f>E36</f>
        <v>0.94055134889827152</v>
      </c>
    </row>
    <row r="44" spans="2:11" x14ac:dyDescent="0.25">
      <c r="B44" s="33" t="s">
        <v>41</v>
      </c>
      <c r="G44" s="67" t="s">
        <v>0</v>
      </c>
      <c r="H44" s="67"/>
      <c r="I44" s="67"/>
      <c r="J44" s="67"/>
      <c r="K44" s="68">
        <f>SUMPRODUCT(J42:J43,K42:K43)</f>
        <v>0.19625688896269036</v>
      </c>
    </row>
    <row r="45" spans="2:11" x14ac:dyDescent="0.25">
      <c r="B45" s="33" t="s">
        <v>42</v>
      </c>
    </row>
  </sheetData>
  <pageMargins left="0.25" right="0.25" top="0.75" bottom="0.75" header="0.3" footer="0.3"/>
  <pageSetup scale="68" orientation="landscape" r:id="rId1"/>
  <ignoredErrors>
    <ignoredError sqref="G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E96A-40D1-4749-99FD-A1D347ABC474}">
  <sheetPr>
    <tabColor rgb="FF002060"/>
  </sheetPr>
  <dimension ref="A1"/>
  <sheetViews>
    <sheetView workbookViewId="0">
      <selection activeCell="E19" sqref="E19"/>
    </sheetView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B581-4ED6-40D4-AF66-43E84CF37B23}">
  <dimension ref="B5:T114"/>
  <sheetViews>
    <sheetView showGridLines="0" zoomScale="113" workbookViewId="0">
      <selection activeCell="B7" sqref="B7:D7"/>
    </sheetView>
  </sheetViews>
  <sheetFormatPr defaultRowHeight="15" x14ac:dyDescent="0.25"/>
  <cols>
    <col min="1" max="1" width="2.28515625" customWidth="1"/>
    <col min="2" max="2" width="15.85546875" bestFit="1" customWidth="1"/>
    <col min="3" max="3" width="12.42578125" bestFit="1" customWidth="1"/>
    <col min="4" max="4" width="8.42578125" bestFit="1" customWidth="1"/>
    <col min="6" max="6" width="12.42578125" bestFit="1" customWidth="1"/>
    <col min="7" max="7" width="7.85546875" bestFit="1" customWidth="1"/>
    <col min="9" max="9" width="19" bestFit="1" customWidth="1"/>
    <col min="10" max="10" width="7.7109375" style="37" bestFit="1" customWidth="1"/>
    <col min="11" max="11" width="9.140625" style="37"/>
    <col min="12" max="12" width="18.7109375" bestFit="1" customWidth="1"/>
    <col min="13" max="13" width="13.7109375" bestFit="1" customWidth="1"/>
    <col min="14" max="14" width="15" bestFit="1" customWidth="1"/>
    <col min="15" max="16" width="13.7109375" bestFit="1" customWidth="1"/>
    <col min="17" max="17" width="14.28515625" bestFit="1" customWidth="1"/>
    <col min="18" max="18" width="13.7109375" bestFit="1" customWidth="1"/>
    <col min="19" max="19" width="14.28515625" bestFit="1" customWidth="1"/>
    <col min="20" max="20" width="13.7109375" bestFit="1" customWidth="1"/>
  </cols>
  <sheetData>
    <row r="5" spans="2:14" x14ac:dyDescent="0.25">
      <c r="B5" s="1" t="s">
        <v>85</v>
      </c>
    </row>
    <row r="6" spans="2:14" s="37" customFormat="1" x14ac:dyDescent="0.25">
      <c r="B6" s="38"/>
    </row>
    <row r="7" spans="2:14" s="37" customFormat="1" x14ac:dyDescent="0.25">
      <c r="B7" s="54" t="s">
        <v>46</v>
      </c>
      <c r="C7" s="54"/>
      <c r="D7" s="54"/>
      <c r="F7" s="54" t="s">
        <v>48</v>
      </c>
      <c r="G7" s="54"/>
      <c r="H7" s="55"/>
      <c r="I7" s="54" t="s">
        <v>79</v>
      </c>
      <c r="J7" s="54"/>
      <c r="L7" s="37" t="s">
        <v>49</v>
      </c>
      <c r="M7" s="39">
        <f>SLOPE(D11:D114,G11:G114)</f>
        <v>1.2421252296486509</v>
      </c>
      <c r="N7" s="37" t="s">
        <v>52</v>
      </c>
    </row>
    <row r="8" spans="2:14" s="53" customFormat="1" x14ac:dyDescent="0.25">
      <c r="B8" s="51"/>
      <c r="C8" s="52"/>
      <c r="D8" s="52"/>
      <c r="L8" s="53" t="s">
        <v>50</v>
      </c>
      <c r="M8" s="56">
        <f>_xlfn.COVARIANCE.S(D11:D114,G11:G114)/_xlfn.VAR.S(G11:G114)</f>
        <v>1.2421252296486505</v>
      </c>
      <c r="N8" s="53" t="s">
        <v>53</v>
      </c>
    </row>
    <row r="9" spans="2:14" ht="15.75" thickBot="1" x14ac:dyDescent="0.3">
      <c r="B9" s="34" t="s">
        <v>44</v>
      </c>
      <c r="C9" s="36" t="s">
        <v>45</v>
      </c>
      <c r="D9" s="36" t="s">
        <v>47</v>
      </c>
      <c r="F9" s="36" t="s">
        <v>45</v>
      </c>
      <c r="G9" s="36" t="s">
        <v>47</v>
      </c>
      <c r="I9" s="63" t="s">
        <v>80</v>
      </c>
      <c r="J9" s="39">
        <f>M10</f>
        <v>1.2421252296486511</v>
      </c>
    </row>
    <row r="10" spans="2:14" x14ac:dyDescent="0.25">
      <c r="B10" s="49">
        <v>44249</v>
      </c>
      <c r="C10" s="48">
        <v>2994.2</v>
      </c>
      <c r="F10" s="48">
        <v>14529.2</v>
      </c>
      <c r="I10" t="s">
        <v>81</v>
      </c>
      <c r="J10" s="40">
        <v>0.75</v>
      </c>
      <c r="L10" t="s">
        <v>51</v>
      </c>
      <c r="M10" s="56">
        <f>M29</f>
        <v>1.2421252296486511</v>
      </c>
    </row>
    <row r="11" spans="2:14" x14ac:dyDescent="0.25">
      <c r="B11" s="49">
        <v>44256</v>
      </c>
      <c r="C11" s="48">
        <v>3286.1</v>
      </c>
      <c r="D11" s="40">
        <f>C11/C10-1</f>
        <v>9.7488477723598921E-2</v>
      </c>
      <c r="F11" s="48">
        <v>14938.1</v>
      </c>
      <c r="G11" s="40">
        <f>F11/F10-1</f>
        <v>2.8143325165872923E-2</v>
      </c>
    </row>
    <row r="12" spans="2:14" x14ac:dyDescent="0.25">
      <c r="B12" s="49">
        <v>44263</v>
      </c>
      <c r="C12" s="48">
        <v>3129.4</v>
      </c>
      <c r="D12" s="40">
        <f t="shared" ref="D12:D75" si="0">C12/C11-1</f>
        <v>-4.7685706460545929E-2</v>
      </c>
      <c r="F12" s="48">
        <v>15031</v>
      </c>
      <c r="G12" s="40">
        <f t="shared" ref="G12:G75" si="1">F12/F11-1</f>
        <v>6.2189970612058776E-3</v>
      </c>
      <c r="I12" t="s">
        <v>83</v>
      </c>
      <c r="J12" s="62">
        <v>1</v>
      </c>
      <c r="L12" t="s">
        <v>54</v>
      </c>
    </row>
    <row r="13" spans="2:14" ht="15.75" thickBot="1" x14ac:dyDescent="0.3">
      <c r="B13" s="49">
        <v>44270</v>
      </c>
      <c r="C13" s="48">
        <v>2960.3</v>
      </c>
      <c r="D13" s="40">
        <f t="shared" si="0"/>
        <v>-5.4035917428260971E-2</v>
      </c>
      <c r="F13" s="48">
        <v>14744</v>
      </c>
      <c r="G13" s="40">
        <f t="shared" si="1"/>
        <v>-1.9093872663162759E-2</v>
      </c>
      <c r="I13" t="s">
        <v>82</v>
      </c>
      <c r="J13" s="40">
        <f>1-J10</f>
        <v>0.25</v>
      </c>
    </row>
    <row r="14" spans="2:14" x14ac:dyDescent="0.25">
      <c r="B14" s="49">
        <v>44277</v>
      </c>
      <c r="C14" s="48">
        <v>2855.2</v>
      </c>
      <c r="D14" s="40">
        <f t="shared" si="0"/>
        <v>-3.550315846366936E-2</v>
      </c>
      <c r="F14" s="48">
        <v>14507.3</v>
      </c>
      <c r="G14" s="40">
        <f t="shared" si="1"/>
        <v>-1.6053988062940894E-2</v>
      </c>
      <c r="L14" s="60" t="s">
        <v>55</v>
      </c>
      <c r="M14" s="60"/>
    </row>
    <row r="15" spans="2:14" x14ac:dyDescent="0.25">
      <c r="B15" s="49">
        <v>44284</v>
      </c>
      <c r="C15" s="48">
        <v>2912.7</v>
      </c>
      <c r="D15" s="40">
        <f t="shared" si="0"/>
        <v>2.0138694312132221E-2</v>
      </c>
      <c r="F15" s="48">
        <v>14867.3</v>
      </c>
      <c r="G15" s="40">
        <f t="shared" si="1"/>
        <v>2.4815093091064444E-2</v>
      </c>
      <c r="I15" s="46" t="s">
        <v>84</v>
      </c>
      <c r="J15" s="45">
        <f>(J9*J10)+(J12*J13)</f>
        <v>1.1815939222364884</v>
      </c>
      <c r="L15" s="57" t="s">
        <v>56</v>
      </c>
      <c r="M15" s="57">
        <v>0.51109437804243274</v>
      </c>
    </row>
    <row r="16" spans="2:14" x14ac:dyDescent="0.25">
      <c r="B16" s="49">
        <v>44291</v>
      </c>
      <c r="C16" s="48">
        <v>2947.8</v>
      </c>
      <c r="D16" s="40">
        <f t="shared" si="0"/>
        <v>1.2050674631784997E-2</v>
      </c>
      <c r="F16" s="48">
        <v>14834.8</v>
      </c>
      <c r="G16" s="40">
        <f t="shared" si="1"/>
        <v>-2.1860055289124602E-3</v>
      </c>
      <c r="L16" s="57" t="s">
        <v>57</v>
      </c>
      <c r="M16" s="57">
        <v>0.26121746326658118</v>
      </c>
    </row>
    <row r="17" spans="2:20" x14ac:dyDescent="0.25">
      <c r="B17" s="49">
        <v>44298</v>
      </c>
      <c r="C17" s="48">
        <v>2919.9</v>
      </c>
      <c r="D17" s="40">
        <f t="shared" si="0"/>
        <v>-9.4646855281905751E-3</v>
      </c>
      <c r="F17" s="48">
        <v>14617.8</v>
      </c>
      <c r="G17" s="40">
        <f t="shared" si="1"/>
        <v>-1.4627767142125325E-2</v>
      </c>
      <c r="L17" s="57" t="s">
        <v>58</v>
      </c>
      <c r="M17" s="57">
        <v>0.25397449722017512</v>
      </c>
    </row>
    <row r="18" spans="2:20" x14ac:dyDescent="0.25">
      <c r="B18" s="49">
        <v>44305</v>
      </c>
      <c r="C18" s="48">
        <v>2713.7</v>
      </c>
      <c r="D18" s="40">
        <f t="shared" si="0"/>
        <v>-7.0618856810164776E-2</v>
      </c>
      <c r="F18" s="48">
        <v>14341.3</v>
      </c>
      <c r="G18" s="40">
        <f t="shared" si="1"/>
        <v>-1.8915295051238901E-2</v>
      </c>
      <c r="L18" s="57" t="s">
        <v>59</v>
      </c>
      <c r="M18" s="57">
        <v>4.2284959614115471E-2</v>
      </c>
    </row>
    <row r="19" spans="2:20" ht="15.75" thickBot="1" x14ac:dyDescent="0.3">
      <c r="B19" s="49">
        <v>44312</v>
      </c>
      <c r="C19" s="48">
        <v>2852.9</v>
      </c>
      <c r="D19" s="40">
        <f t="shared" si="0"/>
        <v>5.1295279507683311E-2</v>
      </c>
      <c r="F19" s="48">
        <v>14631.1</v>
      </c>
      <c r="G19" s="40">
        <f t="shared" si="1"/>
        <v>2.0207373111224225E-2</v>
      </c>
      <c r="L19" s="58" t="s">
        <v>60</v>
      </c>
      <c r="M19" s="58">
        <v>104</v>
      </c>
    </row>
    <row r="20" spans="2:20" x14ac:dyDescent="0.25">
      <c r="B20" s="49">
        <v>44319</v>
      </c>
      <c r="C20" s="48">
        <v>2895.5</v>
      </c>
      <c r="D20" s="40">
        <f t="shared" si="0"/>
        <v>1.4932174278804E-2</v>
      </c>
      <c r="F20" s="48">
        <v>14823.2</v>
      </c>
      <c r="G20" s="40">
        <f t="shared" si="1"/>
        <v>1.3129566471420384E-2</v>
      </c>
    </row>
    <row r="21" spans="2:20" ht="15.75" thickBot="1" x14ac:dyDescent="0.3">
      <c r="B21" s="49">
        <v>44326</v>
      </c>
      <c r="C21" s="48">
        <v>2844.6</v>
      </c>
      <c r="D21" s="40">
        <f t="shared" si="0"/>
        <v>-1.7579001899499236E-2</v>
      </c>
      <c r="F21" s="48">
        <v>14677.8</v>
      </c>
      <c r="G21" s="40">
        <f t="shared" si="1"/>
        <v>-9.8089481353554886E-3</v>
      </c>
      <c r="L21" t="s">
        <v>61</v>
      </c>
    </row>
    <row r="22" spans="2:20" x14ac:dyDescent="0.25">
      <c r="B22" s="49">
        <v>44333</v>
      </c>
      <c r="C22" s="48">
        <v>3034.1</v>
      </c>
      <c r="D22" s="40">
        <f t="shared" si="0"/>
        <v>6.6617450608169815E-2</v>
      </c>
      <c r="F22" s="48">
        <v>15175.3</v>
      </c>
      <c r="G22" s="40">
        <f t="shared" si="1"/>
        <v>3.3894725367561884E-2</v>
      </c>
      <c r="L22" s="59"/>
      <c r="M22" s="59" t="s">
        <v>66</v>
      </c>
      <c r="N22" s="59" t="s">
        <v>67</v>
      </c>
      <c r="O22" s="59" t="s">
        <v>68</v>
      </c>
      <c r="P22" s="59" t="s">
        <v>69</v>
      </c>
      <c r="Q22" s="59" t="s">
        <v>70</v>
      </c>
    </row>
    <row r="23" spans="2:20" x14ac:dyDescent="0.25">
      <c r="B23" s="49">
        <v>44340</v>
      </c>
      <c r="C23" s="48">
        <v>3022.1</v>
      </c>
      <c r="D23" s="40">
        <f t="shared" si="0"/>
        <v>-3.9550443294551485E-3</v>
      </c>
      <c r="F23" s="48">
        <v>15435.7</v>
      </c>
      <c r="G23" s="40">
        <f t="shared" si="1"/>
        <v>1.7159463074865267E-2</v>
      </c>
      <c r="L23" s="57" t="s">
        <v>62</v>
      </c>
      <c r="M23" s="57">
        <v>1</v>
      </c>
      <c r="N23" s="57">
        <v>6.4484835839098448E-2</v>
      </c>
      <c r="O23" s="57">
        <v>6.4484835839098448E-2</v>
      </c>
      <c r="P23" s="57">
        <v>36.064985199840379</v>
      </c>
      <c r="Q23" s="57">
        <v>2.9601287490140681E-8</v>
      </c>
    </row>
    <row r="24" spans="2:20" x14ac:dyDescent="0.25">
      <c r="B24" s="49">
        <v>44347</v>
      </c>
      <c r="C24" s="48">
        <v>3197</v>
      </c>
      <c r="D24" s="40">
        <f t="shared" si="0"/>
        <v>5.7873664008470938E-2</v>
      </c>
      <c r="F24" s="48">
        <v>15670.3</v>
      </c>
      <c r="G24" s="40">
        <f t="shared" si="1"/>
        <v>1.5198533270275982E-2</v>
      </c>
      <c r="L24" s="57" t="s">
        <v>63</v>
      </c>
      <c r="M24" s="57">
        <v>102</v>
      </c>
      <c r="N24" s="57">
        <v>0.1823778165758724</v>
      </c>
      <c r="O24" s="57">
        <v>1.7880178095673765E-3</v>
      </c>
      <c r="P24" s="57"/>
      <c r="Q24" s="57"/>
    </row>
    <row r="25" spans="2:20" ht="15.75" thickBot="1" x14ac:dyDescent="0.3">
      <c r="B25" s="49">
        <v>44354</v>
      </c>
      <c r="C25" s="48">
        <v>3175.6</v>
      </c>
      <c r="D25" s="40">
        <f t="shared" si="0"/>
        <v>-6.693775414451042E-3</v>
      </c>
      <c r="F25" s="48">
        <v>15799.3</v>
      </c>
      <c r="G25" s="40">
        <f t="shared" si="1"/>
        <v>8.2321333988499834E-3</v>
      </c>
      <c r="L25" s="58" t="s">
        <v>64</v>
      </c>
      <c r="M25" s="58">
        <v>103</v>
      </c>
      <c r="N25" s="58">
        <v>0.24686265241497085</v>
      </c>
      <c r="O25" s="58"/>
      <c r="P25" s="58"/>
      <c r="Q25" s="58"/>
    </row>
    <row r="26" spans="2:20" ht="15.75" thickBot="1" x14ac:dyDescent="0.3">
      <c r="B26" s="49">
        <v>44361</v>
      </c>
      <c r="C26" s="48">
        <v>3317.7</v>
      </c>
      <c r="D26" s="40">
        <f t="shared" si="0"/>
        <v>4.4747449300919451E-2</v>
      </c>
      <c r="F26" s="48">
        <v>15683.3</v>
      </c>
      <c r="G26" s="40">
        <f t="shared" si="1"/>
        <v>-7.3420974346964929E-3</v>
      </c>
    </row>
    <row r="27" spans="2:20" x14ac:dyDescent="0.25">
      <c r="B27" s="49">
        <v>44368</v>
      </c>
      <c r="C27" s="48">
        <v>3315.4</v>
      </c>
      <c r="D27" s="40">
        <f t="shared" si="0"/>
        <v>-6.9325134882591843E-4</v>
      </c>
      <c r="F27" s="48">
        <v>15860.3</v>
      </c>
      <c r="G27" s="40">
        <f t="shared" si="1"/>
        <v>1.1285890086907724E-2</v>
      </c>
      <c r="L27" s="59"/>
      <c r="M27" s="59" t="s">
        <v>71</v>
      </c>
      <c r="N27" s="59" t="s">
        <v>59</v>
      </c>
      <c r="O27" s="59" t="s">
        <v>72</v>
      </c>
      <c r="P27" s="59" t="s">
        <v>73</v>
      </c>
      <c r="Q27" s="59" t="s">
        <v>74</v>
      </c>
      <c r="R27" s="59" t="s">
        <v>75</v>
      </c>
      <c r="S27" s="59" t="s">
        <v>76</v>
      </c>
      <c r="T27" s="59" t="s">
        <v>77</v>
      </c>
    </row>
    <row r="28" spans="2:20" x14ac:dyDescent="0.25">
      <c r="B28" s="49">
        <v>44375</v>
      </c>
      <c r="C28" s="48">
        <v>3314.3</v>
      </c>
      <c r="D28" s="40">
        <f t="shared" si="0"/>
        <v>-3.3178500331787486E-4</v>
      </c>
      <c r="F28" s="48">
        <v>15722.2</v>
      </c>
      <c r="G28" s="40">
        <f t="shared" si="1"/>
        <v>-8.7072753983215012E-3</v>
      </c>
      <c r="L28" s="57" t="s">
        <v>65</v>
      </c>
      <c r="M28" s="57">
        <v>1.0685559992921296E-4</v>
      </c>
      <c r="N28" s="57">
        <v>4.1708240440153583E-3</v>
      </c>
      <c r="O28" s="57">
        <v>2.5619781319362579E-2</v>
      </c>
      <c r="P28" s="57">
        <v>0.97961066430393151</v>
      </c>
      <c r="Q28" s="57">
        <v>-8.1659541156753109E-3</v>
      </c>
      <c r="R28" s="57">
        <v>8.3796653155337377E-3</v>
      </c>
      <c r="S28" s="57">
        <v>-8.1659541156753109E-3</v>
      </c>
      <c r="T28" s="57">
        <v>8.3796653155337377E-3</v>
      </c>
    </row>
    <row r="29" spans="2:20" ht="15.75" thickBot="1" x14ac:dyDescent="0.3">
      <c r="B29" s="49">
        <v>44382</v>
      </c>
      <c r="C29" s="48">
        <v>3377.6</v>
      </c>
      <c r="D29" s="40">
        <f t="shared" si="0"/>
        <v>1.9099055607518789E-2</v>
      </c>
      <c r="F29" s="48">
        <v>15689.8</v>
      </c>
      <c r="G29" s="40">
        <f t="shared" si="1"/>
        <v>-2.0607802979227818E-3</v>
      </c>
      <c r="L29" s="58" t="s">
        <v>78</v>
      </c>
      <c r="M29" s="61">
        <v>1.2421252296486511</v>
      </c>
      <c r="N29" s="58">
        <v>0.20683427291066647</v>
      </c>
      <c r="O29" s="58">
        <v>6.0054129916135119</v>
      </c>
      <c r="P29" s="58">
        <v>2.9601287490141068E-8</v>
      </c>
      <c r="Q29" s="58">
        <v>0.83187043002204319</v>
      </c>
      <c r="R29" s="58">
        <v>1.6523800292752591</v>
      </c>
      <c r="S29" s="58">
        <v>0.83187043002204319</v>
      </c>
      <c r="T29" s="58">
        <v>1.6523800292752591</v>
      </c>
    </row>
    <row r="30" spans="2:20" x14ac:dyDescent="0.25">
      <c r="B30" s="49">
        <v>44389</v>
      </c>
      <c r="C30" s="48">
        <v>3349.2</v>
      </c>
      <c r="D30" s="40">
        <f t="shared" si="0"/>
        <v>-8.4083372809095058E-3</v>
      </c>
      <c r="F30" s="48">
        <v>15923.4</v>
      </c>
      <c r="G30" s="40">
        <f t="shared" si="1"/>
        <v>1.4888653775064098E-2</v>
      </c>
    </row>
    <row r="31" spans="2:20" x14ac:dyDescent="0.25">
      <c r="B31" s="49">
        <v>44396</v>
      </c>
      <c r="C31" s="48">
        <v>3413.2</v>
      </c>
      <c r="D31" s="40">
        <f t="shared" si="0"/>
        <v>1.9109040965006541E-2</v>
      </c>
      <c r="F31" s="48">
        <v>15856</v>
      </c>
      <c r="G31" s="40">
        <f t="shared" si="1"/>
        <v>-4.2327643593704778E-3</v>
      </c>
    </row>
    <row r="32" spans="2:20" x14ac:dyDescent="0.25">
      <c r="B32" s="49">
        <v>44403</v>
      </c>
      <c r="C32" s="48">
        <v>3500.8</v>
      </c>
      <c r="D32" s="40">
        <f t="shared" si="0"/>
        <v>2.5665065041603263E-2</v>
      </c>
      <c r="F32" s="48">
        <v>15763</v>
      </c>
      <c r="G32" s="40">
        <f t="shared" si="1"/>
        <v>-5.865287588294632E-3</v>
      </c>
    </row>
    <row r="33" spans="2:7" x14ac:dyDescent="0.25">
      <c r="B33" s="49">
        <v>44410</v>
      </c>
      <c r="C33" s="48">
        <v>3529.2</v>
      </c>
      <c r="D33" s="40">
        <f t="shared" si="0"/>
        <v>8.1124314442411194E-3</v>
      </c>
      <c r="F33" s="48">
        <v>16238.2</v>
      </c>
      <c r="G33" s="40">
        <f t="shared" si="1"/>
        <v>3.0146545708304329E-2</v>
      </c>
    </row>
    <row r="34" spans="2:7" x14ac:dyDescent="0.25">
      <c r="B34" s="49">
        <v>44417</v>
      </c>
      <c r="C34" s="48">
        <v>3594.6</v>
      </c>
      <c r="D34" s="40">
        <f t="shared" si="0"/>
        <v>1.8531111866711969E-2</v>
      </c>
      <c r="F34" s="48">
        <v>16529.099999999999</v>
      </c>
      <c r="G34" s="40">
        <f t="shared" si="1"/>
        <v>1.7914547178874418E-2</v>
      </c>
    </row>
    <row r="35" spans="2:7" x14ac:dyDescent="0.25">
      <c r="B35" s="49">
        <v>44424</v>
      </c>
      <c r="C35" s="48">
        <v>3643.1</v>
      </c>
      <c r="D35" s="40">
        <f t="shared" si="0"/>
        <v>1.3492460913592685E-2</v>
      </c>
      <c r="F35" s="48">
        <v>16450.5</v>
      </c>
      <c r="G35" s="40">
        <f t="shared" si="1"/>
        <v>-4.7552498321141723E-3</v>
      </c>
    </row>
    <row r="36" spans="2:7" x14ac:dyDescent="0.25">
      <c r="B36" s="49">
        <v>44431</v>
      </c>
      <c r="C36" s="48">
        <v>3833.1</v>
      </c>
      <c r="D36" s="40">
        <f t="shared" si="0"/>
        <v>5.2153385852707901E-2</v>
      </c>
      <c r="F36" s="48">
        <v>16705.2</v>
      </c>
      <c r="G36" s="40">
        <f t="shared" si="1"/>
        <v>1.5482812072581398E-2</v>
      </c>
    </row>
    <row r="37" spans="2:7" x14ac:dyDescent="0.25">
      <c r="B37" s="49">
        <v>44438</v>
      </c>
      <c r="C37" s="48">
        <v>3938.9</v>
      </c>
      <c r="D37" s="40">
        <f t="shared" si="0"/>
        <v>2.7601680102267157E-2</v>
      </c>
      <c r="F37" s="48">
        <v>17323.599999999999</v>
      </c>
      <c r="G37" s="40">
        <f t="shared" si="1"/>
        <v>3.7018413428153929E-2</v>
      </c>
    </row>
    <row r="38" spans="2:7" x14ac:dyDescent="0.25">
      <c r="B38" s="49">
        <v>44445</v>
      </c>
      <c r="C38" s="48">
        <v>3950.5</v>
      </c>
      <c r="D38" s="40">
        <f t="shared" si="0"/>
        <v>2.9449846403817315E-3</v>
      </c>
      <c r="F38" s="48">
        <v>17369.3</v>
      </c>
      <c r="G38" s="40">
        <f t="shared" si="1"/>
        <v>2.6380198111246589E-3</v>
      </c>
    </row>
    <row r="39" spans="2:7" x14ac:dyDescent="0.25">
      <c r="B39" s="49">
        <v>44452</v>
      </c>
      <c r="C39" s="48">
        <v>4239.6000000000004</v>
      </c>
      <c r="D39" s="40">
        <f t="shared" si="0"/>
        <v>7.3180610049360828E-2</v>
      </c>
      <c r="F39" s="48">
        <v>17585.2</v>
      </c>
      <c r="G39" s="40">
        <f t="shared" si="1"/>
        <v>1.2429977028435291E-2</v>
      </c>
    </row>
    <row r="40" spans="2:7" x14ac:dyDescent="0.25">
      <c r="B40" s="49">
        <v>44459</v>
      </c>
      <c r="C40" s="48">
        <v>4422.3999999999996</v>
      </c>
      <c r="D40" s="40">
        <f t="shared" si="0"/>
        <v>4.3117275214642703E-2</v>
      </c>
      <c r="F40" s="48">
        <v>17853.2</v>
      </c>
      <c r="G40" s="40">
        <f t="shared" si="1"/>
        <v>1.5240088256033513E-2</v>
      </c>
    </row>
    <row r="41" spans="2:7" x14ac:dyDescent="0.25">
      <c r="B41" s="49">
        <v>44466</v>
      </c>
      <c r="C41" s="48">
        <v>4235.6000000000004</v>
      </c>
      <c r="D41" s="40">
        <f t="shared" si="0"/>
        <v>-4.2239507959478839E-2</v>
      </c>
      <c r="F41" s="48">
        <v>17532.099999999999</v>
      </c>
      <c r="G41" s="40">
        <f t="shared" si="1"/>
        <v>-1.7985571214124252E-2</v>
      </c>
    </row>
    <row r="42" spans="2:7" x14ac:dyDescent="0.25">
      <c r="B42" s="49">
        <v>44473</v>
      </c>
      <c r="C42" s="48">
        <v>4408</v>
      </c>
      <c r="D42" s="40">
        <f t="shared" si="0"/>
        <v>4.0702615922183272E-2</v>
      </c>
      <c r="F42" s="48">
        <v>17895.2</v>
      </c>
      <c r="G42" s="40">
        <f t="shared" si="1"/>
        <v>2.0710582303318015E-2</v>
      </c>
    </row>
    <row r="43" spans="2:7" x14ac:dyDescent="0.25">
      <c r="B43" s="49">
        <v>44480</v>
      </c>
      <c r="C43" s="48">
        <v>5323.8</v>
      </c>
      <c r="D43" s="40">
        <f t="shared" si="0"/>
        <v>0.20775862068965512</v>
      </c>
      <c r="F43" s="48">
        <v>18338.599999999999</v>
      </c>
      <c r="G43" s="40">
        <f t="shared" si="1"/>
        <v>2.4777593991684776E-2</v>
      </c>
    </row>
    <row r="44" spans="2:7" x14ac:dyDescent="0.25">
      <c r="B44" s="49">
        <v>44487</v>
      </c>
      <c r="C44" s="48">
        <v>4521.5</v>
      </c>
      <c r="D44" s="40">
        <f t="shared" si="0"/>
        <v>-0.15070062737142642</v>
      </c>
      <c r="F44" s="48">
        <v>18114.900000000001</v>
      </c>
      <c r="G44" s="40">
        <f t="shared" si="1"/>
        <v>-1.2198313938904692E-2</v>
      </c>
    </row>
    <row r="45" spans="2:7" x14ac:dyDescent="0.25">
      <c r="B45" s="49">
        <v>44494</v>
      </c>
      <c r="C45" s="48">
        <v>4635.5</v>
      </c>
      <c r="D45" s="40">
        <f t="shared" si="0"/>
        <v>2.5212871834568107E-2</v>
      </c>
      <c r="F45" s="48">
        <v>17671.7</v>
      </c>
      <c r="G45" s="40">
        <f t="shared" si="1"/>
        <v>-2.4466047287039938E-2</v>
      </c>
    </row>
    <row r="46" spans="2:7" x14ac:dyDescent="0.25">
      <c r="B46" s="49">
        <v>44501</v>
      </c>
      <c r="C46" s="48">
        <v>4783.7</v>
      </c>
      <c r="D46" s="40">
        <f t="shared" si="0"/>
        <v>3.1970661201596418E-2</v>
      </c>
      <c r="F46" s="48">
        <v>17916.8</v>
      </c>
      <c r="G46" s="40">
        <f t="shared" si="1"/>
        <v>1.3869633368606138E-2</v>
      </c>
    </row>
    <row r="47" spans="2:7" x14ac:dyDescent="0.25">
      <c r="B47" s="49">
        <v>44508</v>
      </c>
      <c r="C47" s="48">
        <v>5078.5</v>
      </c>
      <c r="D47" s="40">
        <f t="shared" si="0"/>
        <v>6.1625938081401488E-2</v>
      </c>
      <c r="F47" s="48">
        <v>18102.8</v>
      </c>
      <c r="G47" s="40">
        <f t="shared" si="1"/>
        <v>1.0381318092516523E-2</v>
      </c>
    </row>
    <row r="48" spans="2:7" x14ac:dyDescent="0.25">
      <c r="B48" s="49">
        <v>44515</v>
      </c>
      <c r="C48" s="48">
        <v>5080.8999999999996</v>
      </c>
      <c r="D48" s="40">
        <f t="shared" si="0"/>
        <v>4.7258048636411587E-4</v>
      </c>
      <c r="F48" s="48">
        <v>17764.8</v>
      </c>
      <c r="G48" s="40">
        <f t="shared" si="1"/>
        <v>-1.8671144795280314E-2</v>
      </c>
    </row>
    <row r="49" spans="2:7" x14ac:dyDescent="0.25">
      <c r="B49" s="49">
        <v>44522</v>
      </c>
      <c r="C49" s="48">
        <v>4718.8</v>
      </c>
      <c r="D49" s="40">
        <f t="shared" si="0"/>
        <v>-7.1266901533192817E-2</v>
      </c>
      <c r="F49" s="48">
        <v>17026.400000000001</v>
      </c>
      <c r="G49" s="40">
        <f t="shared" si="1"/>
        <v>-4.1565342700170982E-2</v>
      </c>
    </row>
    <row r="50" spans="2:7" x14ac:dyDescent="0.25">
      <c r="B50" s="49">
        <v>44529</v>
      </c>
      <c r="C50" s="48">
        <v>4799</v>
      </c>
      <c r="D50" s="40">
        <f t="shared" si="0"/>
        <v>1.6995846401627546E-2</v>
      </c>
      <c r="F50" s="48">
        <v>17196.7</v>
      </c>
      <c r="G50" s="40">
        <f t="shared" si="1"/>
        <v>1.0002114363576453E-2</v>
      </c>
    </row>
    <row r="51" spans="2:7" x14ac:dyDescent="0.25">
      <c r="B51" s="49">
        <v>44536</v>
      </c>
      <c r="C51" s="48">
        <v>4796.6000000000004</v>
      </c>
      <c r="D51" s="40">
        <f t="shared" si="0"/>
        <v>-5.00104188372541E-4</v>
      </c>
      <c r="F51" s="48">
        <v>17511.3</v>
      </c>
      <c r="G51" s="40">
        <f t="shared" si="1"/>
        <v>1.8294207609599322E-2</v>
      </c>
    </row>
    <row r="52" spans="2:7" x14ac:dyDescent="0.25">
      <c r="B52" s="49">
        <v>44543</v>
      </c>
      <c r="C52" s="48">
        <v>4697.8</v>
      </c>
      <c r="D52" s="40">
        <f t="shared" si="0"/>
        <v>-2.0597923529166562E-2</v>
      </c>
      <c r="F52" s="48">
        <v>16985.2</v>
      </c>
      <c r="G52" s="40">
        <f t="shared" si="1"/>
        <v>-3.004345765305827E-2</v>
      </c>
    </row>
    <row r="53" spans="2:7" x14ac:dyDescent="0.25">
      <c r="B53" s="49">
        <v>44550</v>
      </c>
      <c r="C53" s="48">
        <v>4628.8999999999996</v>
      </c>
      <c r="D53" s="40">
        <f t="shared" si="0"/>
        <v>-1.4666439610030335E-2</v>
      </c>
      <c r="F53" s="48">
        <v>17003.8</v>
      </c>
      <c r="G53" s="40">
        <f t="shared" si="1"/>
        <v>1.0950710029906663E-3</v>
      </c>
    </row>
    <row r="54" spans="2:7" x14ac:dyDescent="0.25">
      <c r="B54" s="49">
        <v>44557</v>
      </c>
      <c r="C54" s="48">
        <v>4671.5</v>
      </c>
      <c r="D54" s="40">
        <f t="shared" si="0"/>
        <v>9.2030504007432068E-3</v>
      </c>
      <c r="F54" s="48">
        <v>17354.099999999999</v>
      </c>
      <c r="G54" s="40">
        <f t="shared" si="1"/>
        <v>2.0601277361530945E-2</v>
      </c>
    </row>
    <row r="55" spans="2:7" x14ac:dyDescent="0.25">
      <c r="B55" s="49">
        <v>44564</v>
      </c>
      <c r="C55" s="48">
        <v>4731.3999999999996</v>
      </c>
      <c r="D55" s="40">
        <f t="shared" si="0"/>
        <v>1.2822433907738295E-2</v>
      </c>
      <c r="F55" s="48">
        <v>17812.7</v>
      </c>
      <c r="G55" s="40">
        <f t="shared" si="1"/>
        <v>2.6426031888718171E-2</v>
      </c>
    </row>
    <row r="56" spans="2:7" x14ac:dyDescent="0.25">
      <c r="B56" s="49">
        <v>44571</v>
      </c>
      <c r="C56" s="48">
        <v>4322.7</v>
      </c>
      <c r="D56" s="40">
        <f t="shared" si="0"/>
        <v>-8.6380352538360738E-2</v>
      </c>
      <c r="F56" s="48">
        <v>18255.8</v>
      </c>
      <c r="G56" s="40">
        <f t="shared" si="1"/>
        <v>2.4875510169710235E-2</v>
      </c>
    </row>
    <row r="57" spans="2:7" x14ac:dyDescent="0.25">
      <c r="B57" s="49">
        <v>44578</v>
      </c>
      <c r="C57" s="48">
        <v>4299.8</v>
      </c>
      <c r="D57" s="40">
        <f t="shared" si="0"/>
        <v>-5.2976149166029662E-3</v>
      </c>
      <c r="F57" s="48">
        <v>17617.2</v>
      </c>
      <c r="G57" s="40">
        <f t="shared" si="1"/>
        <v>-3.4980663679488044E-2</v>
      </c>
    </row>
    <row r="58" spans="2:7" x14ac:dyDescent="0.25">
      <c r="B58" s="49">
        <v>44585</v>
      </c>
      <c r="C58" s="48">
        <v>4076</v>
      </c>
      <c r="D58" s="40">
        <f t="shared" si="0"/>
        <v>-5.2048932508488854E-2</v>
      </c>
      <c r="F58" s="48">
        <v>17101.900000000001</v>
      </c>
      <c r="G58" s="40">
        <f t="shared" si="1"/>
        <v>-2.9249824035601502E-2</v>
      </c>
    </row>
    <row r="59" spans="2:7" x14ac:dyDescent="0.25">
      <c r="B59" s="49">
        <v>44592</v>
      </c>
      <c r="C59" s="48">
        <v>4081.9</v>
      </c>
      <c r="D59" s="40">
        <f t="shared" si="0"/>
        <v>1.4474975466143292E-3</v>
      </c>
      <c r="F59" s="48">
        <v>17516.3</v>
      </c>
      <c r="G59" s="40">
        <f t="shared" si="1"/>
        <v>2.4231225770235953E-2</v>
      </c>
    </row>
    <row r="60" spans="2:7" x14ac:dyDescent="0.25">
      <c r="B60" s="49">
        <v>44599</v>
      </c>
      <c r="C60" s="48">
        <v>4142.3</v>
      </c>
      <c r="D60" s="40">
        <f t="shared" si="0"/>
        <v>1.4797030794482913E-2</v>
      </c>
      <c r="F60" s="48">
        <v>17374.8</v>
      </c>
      <c r="G60" s="40">
        <f t="shared" si="1"/>
        <v>-8.0781900287161257E-3</v>
      </c>
    </row>
    <row r="61" spans="2:7" x14ac:dyDescent="0.25">
      <c r="B61" s="49">
        <v>44606</v>
      </c>
      <c r="C61" s="48">
        <v>4073.1</v>
      </c>
      <c r="D61" s="40">
        <f t="shared" si="0"/>
        <v>-1.6705694903797474E-2</v>
      </c>
      <c r="F61" s="48">
        <v>17276.3</v>
      </c>
      <c r="G61" s="40">
        <f t="shared" si="1"/>
        <v>-5.6691300043741899E-3</v>
      </c>
    </row>
    <row r="62" spans="2:7" x14ac:dyDescent="0.25">
      <c r="B62" s="49">
        <v>44613</v>
      </c>
      <c r="C62" s="48">
        <v>4190.8</v>
      </c>
      <c r="D62" s="40">
        <f t="shared" si="0"/>
        <v>2.8896908988240044E-2</v>
      </c>
      <c r="F62" s="48">
        <v>16658.400000000001</v>
      </c>
      <c r="G62" s="40">
        <f t="shared" si="1"/>
        <v>-3.5765760029635829E-2</v>
      </c>
    </row>
    <row r="63" spans="2:7" x14ac:dyDescent="0.25">
      <c r="B63" s="49">
        <v>44620</v>
      </c>
      <c r="C63" s="48">
        <v>4110.2</v>
      </c>
      <c r="D63" s="40">
        <f t="shared" si="0"/>
        <v>-1.9232604753269156E-2</v>
      </c>
      <c r="F63" s="48">
        <v>16245.3</v>
      </c>
      <c r="G63" s="40">
        <f t="shared" si="1"/>
        <v>-2.4798299956778735E-2</v>
      </c>
    </row>
    <row r="64" spans="2:7" x14ac:dyDescent="0.25">
      <c r="B64" s="49">
        <v>44627</v>
      </c>
      <c r="C64" s="48">
        <v>4199</v>
      </c>
      <c r="D64" s="40">
        <f t="shared" si="0"/>
        <v>2.1604788088170901E-2</v>
      </c>
      <c r="F64" s="48">
        <v>16630.400000000001</v>
      </c>
      <c r="G64" s="40">
        <f t="shared" si="1"/>
        <v>2.3705317845777119E-2</v>
      </c>
    </row>
    <row r="65" spans="2:7" x14ac:dyDescent="0.25">
      <c r="B65" s="49">
        <v>44634</v>
      </c>
      <c r="C65" s="48">
        <v>4192.8</v>
      </c>
      <c r="D65" s="40">
        <f t="shared" si="0"/>
        <v>-1.4765420338175295E-3</v>
      </c>
      <c r="F65" s="48">
        <v>17287.099999999999</v>
      </c>
      <c r="G65" s="40">
        <f t="shared" si="1"/>
        <v>3.9487925726380491E-2</v>
      </c>
    </row>
    <row r="66" spans="2:7" x14ac:dyDescent="0.25">
      <c r="B66" s="49">
        <v>44641</v>
      </c>
      <c r="C66" s="48">
        <v>4001.3</v>
      </c>
      <c r="D66" s="40">
        <f t="shared" si="0"/>
        <v>-4.5673535584812019E-2</v>
      </c>
      <c r="F66" s="48">
        <v>17153</v>
      </c>
      <c r="G66" s="40">
        <f t="shared" si="1"/>
        <v>-7.7572293791323688E-3</v>
      </c>
    </row>
    <row r="67" spans="2:7" x14ac:dyDescent="0.25">
      <c r="B67" s="49">
        <v>44648</v>
      </c>
      <c r="C67" s="48">
        <v>4082.2</v>
      </c>
      <c r="D67" s="40">
        <f t="shared" si="0"/>
        <v>2.0218429010571581E-2</v>
      </c>
      <c r="F67" s="48">
        <v>17670.400000000001</v>
      </c>
      <c r="G67" s="40">
        <f t="shared" si="1"/>
        <v>3.0163819739987163E-2</v>
      </c>
    </row>
    <row r="68" spans="2:7" x14ac:dyDescent="0.25">
      <c r="B68" s="49">
        <v>44655</v>
      </c>
      <c r="C68" s="48">
        <v>4146.3</v>
      </c>
      <c r="D68" s="40">
        <f t="shared" si="0"/>
        <v>1.5702317377884523E-2</v>
      </c>
      <c r="F68" s="48">
        <v>17784.3</v>
      </c>
      <c r="G68" s="40">
        <f t="shared" si="1"/>
        <v>6.4458076783773244E-3</v>
      </c>
    </row>
    <row r="69" spans="2:7" x14ac:dyDescent="0.25">
      <c r="B69" s="49">
        <v>44662</v>
      </c>
      <c r="C69" s="48">
        <v>4090.9</v>
      </c>
      <c r="D69" s="40">
        <f t="shared" si="0"/>
        <v>-1.3361310083689126E-2</v>
      </c>
      <c r="F69" s="48">
        <v>17475.7</v>
      </c>
      <c r="G69" s="40">
        <f t="shared" si="1"/>
        <v>-1.7352383844177033E-2</v>
      </c>
    </row>
    <row r="70" spans="2:7" x14ac:dyDescent="0.25">
      <c r="B70" s="49">
        <v>44669</v>
      </c>
      <c r="C70" s="48">
        <v>4028.9</v>
      </c>
      <c r="D70" s="40">
        <f t="shared" si="0"/>
        <v>-1.5155589234642775E-2</v>
      </c>
      <c r="F70" s="48">
        <v>17171.900000000001</v>
      </c>
      <c r="G70" s="40">
        <f t="shared" si="1"/>
        <v>-1.7384139118890807E-2</v>
      </c>
    </row>
    <row r="71" spans="2:7" x14ac:dyDescent="0.25">
      <c r="B71" s="49">
        <v>44676</v>
      </c>
      <c r="C71" s="48">
        <v>3944.3</v>
      </c>
      <c r="D71" s="40">
        <f t="shared" si="0"/>
        <v>-2.0998287373724778E-2</v>
      </c>
      <c r="F71" s="48">
        <v>17102.599999999999</v>
      </c>
      <c r="G71" s="40">
        <f t="shared" si="1"/>
        <v>-4.0356629144127076E-3</v>
      </c>
    </row>
    <row r="72" spans="2:7" x14ac:dyDescent="0.25">
      <c r="B72" s="49">
        <v>44683</v>
      </c>
      <c r="C72" s="48">
        <v>3666.2</v>
      </c>
      <c r="D72" s="40">
        <f t="shared" si="0"/>
        <v>-7.050680729153469E-2</v>
      </c>
      <c r="F72" s="48">
        <v>16411.3</v>
      </c>
      <c r="G72" s="40">
        <f t="shared" si="1"/>
        <v>-4.0420754739045495E-2</v>
      </c>
    </row>
    <row r="73" spans="2:7" x14ac:dyDescent="0.25">
      <c r="B73" s="49">
        <v>44690</v>
      </c>
      <c r="C73" s="48">
        <v>3230.6</v>
      </c>
      <c r="D73" s="40">
        <f t="shared" si="0"/>
        <v>-0.11881512192460852</v>
      </c>
      <c r="F73" s="48">
        <v>15782.2</v>
      </c>
      <c r="G73" s="40">
        <f t="shared" si="1"/>
        <v>-3.8333343488937466E-2</v>
      </c>
    </row>
    <row r="74" spans="2:7" x14ac:dyDescent="0.25">
      <c r="B74" s="49">
        <v>44697</v>
      </c>
      <c r="C74" s="48">
        <v>3630.4</v>
      </c>
      <c r="D74" s="40">
        <f t="shared" si="0"/>
        <v>0.12375410140531184</v>
      </c>
      <c r="F74" s="48">
        <v>16266.2</v>
      </c>
      <c r="G74" s="40">
        <f t="shared" si="1"/>
        <v>3.0667460810279934E-2</v>
      </c>
    </row>
    <row r="75" spans="2:7" x14ac:dyDescent="0.25">
      <c r="B75" s="49">
        <v>44704</v>
      </c>
      <c r="C75" s="48">
        <v>3613.9</v>
      </c>
      <c r="D75" s="40">
        <f t="shared" si="0"/>
        <v>-4.5449537241075699E-3</v>
      </c>
      <c r="F75" s="48">
        <v>16352.5</v>
      </c>
      <c r="G75" s="40">
        <f t="shared" si="1"/>
        <v>5.3054800752481146E-3</v>
      </c>
    </row>
    <row r="76" spans="2:7" x14ac:dyDescent="0.25">
      <c r="B76" s="49">
        <v>44711</v>
      </c>
      <c r="C76" s="48">
        <v>3820.1</v>
      </c>
      <c r="D76" s="40">
        <f t="shared" ref="D76:D114" si="2">C76/C75-1</f>
        <v>5.7057472536594656E-2</v>
      </c>
      <c r="F76" s="48">
        <v>16584.3</v>
      </c>
      <c r="G76" s="40">
        <f t="shared" ref="G76:G114" si="3">F76/F75-1</f>
        <v>1.4175202568414536E-2</v>
      </c>
    </row>
    <row r="77" spans="2:7" x14ac:dyDescent="0.25">
      <c r="B77" s="49">
        <v>44718</v>
      </c>
      <c r="C77" s="48">
        <v>3755.6</v>
      </c>
      <c r="D77" s="40">
        <f t="shared" si="2"/>
        <v>-1.6884374754587594E-2</v>
      </c>
      <c r="F77" s="48">
        <v>16201.8</v>
      </c>
      <c r="G77" s="40">
        <f t="shared" si="3"/>
        <v>-2.3063982200032584E-2</v>
      </c>
    </row>
    <row r="78" spans="2:7" x14ac:dyDescent="0.25">
      <c r="B78" s="49">
        <v>44725</v>
      </c>
      <c r="C78" s="48">
        <v>3460.6</v>
      </c>
      <c r="D78" s="40">
        <f t="shared" si="2"/>
        <v>-7.8549366279689004E-2</v>
      </c>
      <c r="F78" s="48">
        <v>15293.5</v>
      </c>
      <c r="G78" s="40">
        <f t="shared" si="3"/>
        <v>-5.6061672159883447E-2</v>
      </c>
    </row>
    <row r="79" spans="2:7" x14ac:dyDescent="0.25">
      <c r="B79" s="49">
        <v>44732</v>
      </c>
      <c r="C79" s="48">
        <v>3412</v>
      </c>
      <c r="D79" s="40">
        <f t="shared" si="2"/>
        <v>-1.404380743223721E-2</v>
      </c>
      <c r="F79" s="48">
        <v>15699.3</v>
      </c>
      <c r="G79" s="40">
        <f t="shared" si="3"/>
        <v>2.6534148494458343E-2</v>
      </c>
    </row>
    <row r="80" spans="2:7" x14ac:dyDescent="0.25">
      <c r="B80" s="49">
        <v>44739</v>
      </c>
      <c r="C80" s="48">
        <v>3388.8</v>
      </c>
      <c r="D80" s="40">
        <f t="shared" si="2"/>
        <v>-6.7995310668229614E-3</v>
      </c>
      <c r="F80" s="48">
        <v>15752</v>
      </c>
      <c r="G80" s="40">
        <f t="shared" si="3"/>
        <v>3.3568375660062433E-3</v>
      </c>
    </row>
    <row r="81" spans="2:7" x14ac:dyDescent="0.25">
      <c r="B81" s="49">
        <v>44746</v>
      </c>
      <c r="C81" s="48">
        <v>3941.7</v>
      </c>
      <c r="D81" s="40">
        <f t="shared" si="2"/>
        <v>0.16315509915014159</v>
      </c>
      <c r="F81" s="48">
        <v>16220.6</v>
      </c>
      <c r="G81" s="40">
        <f t="shared" si="3"/>
        <v>2.9748603351955394E-2</v>
      </c>
    </row>
    <row r="82" spans="2:7" x14ac:dyDescent="0.25">
      <c r="B82" s="49">
        <v>44753</v>
      </c>
      <c r="C82" s="48">
        <v>3926.8</v>
      </c>
      <c r="D82" s="40">
        <f t="shared" si="2"/>
        <v>-3.7800948829184167E-3</v>
      </c>
      <c r="F82" s="48">
        <v>16049.2</v>
      </c>
      <c r="G82" s="40">
        <f t="shared" si="3"/>
        <v>-1.0566810105668067E-2</v>
      </c>
    </row>
    <row r="83" spans="2:7" x14ac:dyDescent="0.25">
      <c r="B83" s="49">
        <v>44760</v>
      </c>
      <c r="C83" s="48">
        <v>3963.4</v>
      </c>
      <c r="D83" s="40">
        <f t="shared" si="2"/>
        <v>9.3205663644697623E-3</v>
      </c>
      <c r="F83" s="48">
        <v>16719.400000000001</v>
      </c>
      <c r="G83" s="40">
        <f t="shared" si="3"/>
        <v>4.1759090795802978E-2</v>
      </c>
    </row>
    <row r="84" spans="2:7" x14ac:dyDescent="0.25">
      <c r="B84" s="49">
        <v>44767</v>
      </c>
      <c r="C84" s="48">
        <v>4243.8999999999996</v>
      </c>
      <c r="D84" s="40">
        <f t="shared" si="2"/>
        <v>7.0772569006408492E-2</v>
      </c>
      <c r="F84" s="48">
        <v>17158.3</v>
      </c>
      <c r="G84" s="40">
        <f t="shared" si="3"/>
        <v>2.625094201945033E-2</v>
      </c>
    </row>
    <row r="85" spans="2:7" x14ac:dyDescent="0.25">
      <c r="B85" s="49">
        <v>44774</v>
      </c>
      <c r="C85" s="48">
        <v>4232.3</v>
      </c>
      <c r="D85" s="40">
        <f t="shared" si="2"/>
        <v>-2.7333349042153454E-3</v>
      </c>
      <c r="F85" s="48">
        <v>17397.5</v>
      </c>
      <c r="G85" s="40">
        <f t="shared" si="3"/>
        <v>1.3940775018504103E-2</v>
      </c>
    </row>
    <row r="86" spans="2:7" x14ac:dyDescent="0.25">
      <c r="B86" s="49">
        <v>44781</v>
      </c>
      <c r="C86" s="48">
        <v>4336.7</v>
      </c>
      <c r="D86" s="40">
        <f t="shared" si="2"/>
        <v>2.4667438508612305E-2</v>
      </c>
      <c r="F86" s="48">
        <v>17698.2</v>
      </c>
      <c r="G86" s="40">
        <f t="shared" si="3"/>
        <v>1.7284092542031892E-2</v>
      </c>
    </row>
    <row r="87" spans="2:7" x14ac:dyDescent="0.25">
      <c r="B87" s="49">
        <v>44788</v>
      </c>
      <c r="C87" s="48">
        <v>4382</v>
      </c>
      <c r="D87" s="40">
        <f t="shared" si="2"/>
        <v>1.0445730624668581E-2</v>
      </c>
      <c r="F87" s="48">
        <v>17758.400000000001</v>
      </c>
      <c r="G87" s="40">
        <f t="shared" si="3"/>
        <v>3.4014758563019054E-3</v>
      </c>
    </row>
    <row r="88" spans="2:7" x14ac:dyDescent="0.25">
      <c r="B88" s="49">
        <v>44795</v>
      </c>
      <c r="C88" s="48">
        <v>4409.6000000000004</v>
      </c>
      <c r="D88" s="40">
        <f t="shared" si="2"/>
        <v>6.2984938384300637E-3</v>
      </c>
      <c r="F88" s="48">
        <v>17558.900000000001</v>
      </c>
      <c r="G88" s="40">
        <f t="shared" si="3"/>
        <v>-1.1234120191008223E-2</v>
      </c>
    </row>
    <row r="89" spans="2:7" x14ac:dyDescent="0.25">
      <c r="B89" s="49">
        <v>44802</v>
      </c>
      <c r="C89" s="48">
        <v>4576.8</v>
      </c>
      <c r="D89" s="40">
        <f t="shared" si="2"/>
        <v>3.7917271407837294E-2</v>
      </c>
      <c r="F89" s="48">
        <v>17539.400000000001</v>
      </c>
      <c r="G89" s="40">
        <f t="shared" si="3"/>
        <v>-1.1105479272619512E-3</v>
      </c>
    </row>
    <row r="90" spans="2:7" x14ac:dyDescent="0.25">
      <c r="B90" s="49">
        <v>44809</v>
      </c>
      <c r="C90" s="48">
        <v>4386.1000000000004</v>
      </c>
      <c r="D90" s="40">
        <f t="shared" si="2"/>
        <v>-4.166666666666663E-2</v>
      </c>
      <c r="F90" s="48">
        <v>17833.3</v>
      </c>
      <c r="G90" s="40">
        <f t="shared" si="3"/>
        <v>1.675655951742927E-2</v>
      </c>
    </row>
    <row r="91" spans="2:7" x14ac:dyDescent="0.25">
      <c r="B91" s="49">
        <v>44816</v>
      </c>
      <c r="C91" s="48">
        <v>4327.5</v>
      </c>
      <c r="D91" s="40">
        <f t="shared" si="2"/>
        <v>-1.3360388500034293E-2</v>
      </c>
      <c r="F91" s="48">
        <v>17530.8</v>
      </c>
      <c r="G91" s="40">
        <f t="shared" si="3"/>
        <v>-1.6962648528314972E-2</v>
      </c>
    </row>
    <row r="92" spans="2:7" x14ac:dyDescent="0.25">
      <c r="B92" s="49">
        <v>44823</v>
      </c>
      <c r="C92" s="48">
        <v>4367</v>
      </c>
      <c r="D92" s="40">
        <f t="shared" si="2"/>
        <v>9.127671865973408E-3</v>
      </c>
      <c r="F92" s="48">
        <v>17327.3</v>
      </c>
      <c r="G92" s="40">
        <f t="shared" si="3"/>
        <v>-1.1608141100235003E-2</v>
      </c>
    </row>
    <row r="93" spans="2:7" x14ac:dyDescent="0.25">
      <c r="B93" s="49">
        <v>44830</v>
      </c>
      <c r="C93" s="48">
        <v>4386.5</v>
      </c>
      <c r="D93" s="40">
        <f t="shared" si="2"/>
        <v>4.4653079917562621E-3</v>
      </c>
      <c r="F93" s="48">
        <v>17094.3</v>
      </c>
      <c r="G93" s="40">
        <f t="shared" si="3"/>
        <v>-1.3446988278612348E-2</v>
      </c>
    </row>
    <row r="94" spans="2:7" x14ac:dyDescent="0.25">
      <c r="B94" s="49">
        <v>44837</v>
      </c>
      <c r="C94" s="48">
        <v>4471.5</v>
      </c>
      <c r="D94" s="40">
        <f t="shared" si="2"/>
        <v>1.9377635928416792E-2</v>
      </c>
      <c r="F94" s="48">
        <v>17314.7</v>
      </c>
      <c r="G94" s="40">
        <f t="shared" si="3"/>
        <v>1.289318661776151E-2</v>
      </c>
    </row>
    <row r="95" spans="2:7" x14ac:dyDescent="0.25">
      <c r="B95" s="49">
        <v>44844</v>
      </c>
      <c r="C95" s="48">
        <v>4306.1000000000004</v>
      </c>
      <c r="D95" s="40">
        <f t="shared" si="2"/>
        <v>-3.6989824443698915E-2</v>
      </c>
      <c r="F95" s="48">
        <v>17185.7</v>
      </c>
      <c r="G95" s="40">
        <f t="shared" si="3"/>
        <v>-7.4503167828492423E-3</v>
      </c>
    </row>
    <row r="96" spans="2:7" x14ac:dyDescent="0.25">
      <c r="B96" s="49">
        <v>44851</v>
      </c>
      <c r="C96" s="48">
        <v>4215.5</v>
      </c>
      <c r="D96" s="40">
        <f t="shared" si="2"/>
        <v>-2.103992011332767E-2</v>
      </c>
      <c r="F96" s="48">
        <v>17576.3</v>
      </c>
      <c r="G96" s="40">
        <f t="shared" si="3"/>
        <v>2.2728198444055048E-2</v>
      </c>
    </row>
    <row r="97" spans="2:7" x14ac:dyDescent="0.25">
      <c r="B97" s="49">
        <v>44858</v>
      </c>
      <c r="C97" s="48">
        <v>4307.3999999999996</v>
      </c>
      <c r="D97" s="40">
        <f t="shared" si="2"/>
        <v>2.18004981615465E-2</v>
      </c>
      <c r="F97" s="48">
        <v>17786.8</v>
      </c>
      <c r="G97" s="40">
        <f t="shared" si="3"/>
        <v>1.1976354522851729E-2</v>
      </c>
    </row>
    <row r="98" spans="2:7" x14ac:dyDescent="0.25">
      <c r="B98" s="49">
        <v>44865</v>
      </c>
      <c r="C98" s="48">
        <v>4167.3999999999996</v>
      </c>
      <c r="D98" s="40">
        <f t="shared" si="2"/>
        <v>-3.2502205506802273E-2</v>
      </c>
      <c r="F98" s="48">
        <v>18117.2</v>
      </c>
      <c r="G98" s="40">
        <f t="shared" si="3"/>
        <v>1.8575572896754933E-2</v>
      </c>
    </row>
    <row r="99" spans="2:7" x14ac:dyDescent="0.25">
      <c r="B99" s="49">
        <v>44872</v>
      </c>
      <c r="C99" s="48">
        <v>4128.3999999999996</v>
      </c>
      <c r="D99" s="40">
        <f t="shared" si="2"/>
        <v>-9.3583529298842949E-3</v>
      </c>
      <c r="F99" s="48">
        <v>18349.7</v>
      </c>
      <c r="G99" s="40">
        <f t="shared" si="3"/>
        <v>1.2833108868920196E-2</v>
      </c>
    </row>
    <row r="100" spans="2:7" x14ac:dyDescent="0.25">
      <c r="B100" s="49">
        <v>44879</v>
      </c>
      <c r="C100" s="48">
        <v>3910.6</v>
      </c>
      <c r="D100" s="40">
        <f t="shared" si="2"/>
        <v>-5.2756515841488216E-2</v>
      </c>
      <c r="F100" s="48">
        <v>18307.7</v>
      </c>
      <c r="G100" s="40">
        <f t="shared" si="3"/>
        <v>-2.2888657580233396E-3</v>
      </c>
    </row>
    <row r="101" spans="2:7" x14ac:dyDescent="0.25">
      <c r="B101" s="49">
        <v>44886</v>
      </c>
      <c r="C101" s="48">
        <v>3904.4</v>
      </c>
      <c r="D101" s="40">
        <f t="shared" si="2"/>
        <v>-1.5854344601851089E-3</v>
      </c>
      <c r="F101" s="48">
        <v>18512.8</v>
      </c>
      <c r="G101" s="40">
        <f t="shared" si="3"/>
        <v>1.1202936469354441E-2</v>
      </c>
    </row>
    <row r="102" spans="2:7" x14ac:dyDescent="0.25">
      <c r="B102" s="49">
        <v>44893</v>
      </c>
      <c r="C102" s="48">
        <v>4005.8</v>
      </c>
      <c r="D102" s="40">
        <f t="shared" si="2"/>
        <v>2.5970699723389057E-2</v>
      </c>
      <c r="F102" s="48">
        <v>18696.099999999999</v>
      </c>
      <c r="G102" s="40">
        <f t="shared" si="3"/>
        <v>9.9012575083186061E-3</v>
      </c>
    </row>
    <row r="103" spans="2:7" x14ac:dyDescent="0.25">
      <c r="B103" s="49">
        <v>44900</v>
      </c>
      <c r="C103" s="48">
        <v>4002.4</v>
      </c>
      <c r="D103" s="40">
        <f t="shared" si="2"/>
        <v>-8.4876928453747613E-4</v>
      </c>
      <c r="F103" s="48">
        <v>18496.599999999999</v>
      </c>
      <c r="G103" s="40">
        <f t="shared" si="3"/>
        <v>-1.0670674632677457E-2</v>
      </c>
    </row>
    <row r="104" spans="2:7" x14ac:dyDescent="0.25">
      <c r="B104" s="49">
        <v>44907</v>
      </c>
      <c r="C104" s="48">
        <v>3990</v>
      </c>
      <c r="D104" s="40">
        <f t="shared" si="2"/>
        <v>-3.0981411153307992E-3</v>
      </c>
      <c r="F104" s="48">
        <v>18269</v>
      </c>
      <c r="G104" s="40">
        <f t="shared" si="3"/>
        <v>-1.2304964155574472E-2</v>
      </c>
    </row>
    <row r="105" spans="2:7" x14ac:dyDescent="0.25">
      <c r="B105" s="49">
        <v>44914</v>
      </c>
      <c r="C105" s="48">
        <v>3875.6</v>
      </c>
      <c r="D105" s="40">
        <f t="shared" si="2"/>
        <v>-2.8671679197994959E-2</v>
      </c>
      <c r="F105" s="48">
        <v>17806.8</v>
      </c>
      <c r="G105" s="40">
        <f t="shared" si="3"/>
        <v>-2.5299687996058973E-2</v>
      </c>
    </row>
    <row r="106" spans="2:7" x14ac:dyDescent="0.25">
      <c r="B106" s="49">
        <v>44921</v>
      </c>
      <c r="C106" s="48">
        <v>4068.8</v>
      </c>
      <c r="D106" s="40">
        <f t="shared" si="2"/>
        <v>4.9850345752915803E-2</v>
      </c>
      <c r="F106" s="48">
        <v>18105.3</v>
      </c>
      <c r="G106" s="40">
        <f t="shared" si="3"/>
        <v>1.6763258979715534E-2</v>
      </c>
    </row>
    <row r="107" spans="2:7" x14ac:dyDescent="0.25">
      <c r="B107" s="49">
        <v>44928</v>
      </c>
      <c r="C107" s="48">
        <v>3842.5</v>
      </c>
      <c r="D107" s="40">
        <f t="shared" si="2"/>
        <v>-5.5618364136846288E-2</v>
      </c>
      <c r="F107" s="48">
        <v>17859.400000000001</v>
      </c>
      <c r="G107" s="40">
        <f t="shared" si="3"/>
        <v>-1.3581658409415942E-2</v>
      </c>
    </row>
    <row r="108" spans="2:7" x14ac:dyDescent="0.25">
      <c r="B108" s="49">
        <v>44935</v>
      </c>
      <c r="C108" s="48">
        <v>3863.7</v>
      </c>
      <c r="D108" s="40">
        <f t="shared" si="2"/>
        <v>5.5172413793103114E-3</v>
      </c>
      <c r="F108" s="48">
        <v>17956.599999999999</v>
      </c>
      <c r="G108" s="40">
        <f t="shared" si="3"/>
        <v>5.4425120664747251E-3</v>
      </c>
    </row>
    <row r="109" spans="2:7" x14ac:dyDescent="0.25">
      <c r="B109" s="49">
        <v>44942</v>
      </c>
      <c r="C109" s="48">
        <v>3513.8</v>
      </c>
      <c r="D109" s="40">
        <f t="shared" si="2"/>
        <v>-9.0560861350518884E-2</v>
      </c>
      <c r="F109" s="48">
        <v>18027.7</v>
      </c>
      <c r="G109" s="40">
        <f t="shared" si="3"/>
        <v>3.9595469075439649E-3</v>
      </c>
    </row>
    <row r="110" spans="2:7" x14ac:dyDescent="0.25">
      <c r="B110" s="49">
        <v>44949</v>
      </c>
      <c r="C110" s="48">
        <v>3562.4</v>
      </c>
      <c r="D110" s="40">
        <f t="shared" si="2"/>
        <v>1.3831179919175707E-2</v>
      </c>
      <c r="F110" s="48">
        <v>17604.3</v>
      </c>
      <c r="G110" s="40">
        <f t="shared" si="3"/>
        <v>-2.3486079755043687E-2</v>
      </c>
    </row>
    <row r="111" spans="2:7" x14ac:dyDescent="0.25">
      <c r="B111" s="49">
        <v>44956</v>
      </c>
      <c r="C111" s="48">
        <v>3470.4</v>
      </c>
      <c r="D111" s="40">
        <f t="shared" si="2"/>
        <v>-2.5825286323826635E-2</v>
      </c>
      <c r="F111" s="48">
        <v>17854.099999999999</v>
      </c>
      <c r="G111" s="40">
        <f t="shared" si="3"/>
        <v>1.4189715012809412E-2</v>
      </c>
    </row>
    <row r="112" spans="2:7" x14ac:dyDescent="0.25">
      <c r="B112" s="49">
        <v>44963</v>
      </c>
      <c r="C112" s="48">
        <v>3498.9</v>
      </c>
      <c r="D112" s="40">
        <f t="shared" si="2"/>
        <v>8.2123098201936084E-3</v>
      </c>
      <c r="F112" s="48">
        <v>17856.5</v>
      </c>
      <c r="G112" s="40">
        <f t="shared" si="3"/>
        <v>1.34422905663234E-4</v>
      </c>
    </row>
    <row r="113" spans="2:7" x14ac:dyDescent="0.25">
      <c r="B113" s="49">
        <v>44970</v>
      </c>
      <c r="C113" s="48">
        <v>3545</v>
      </c>
      <c r="D113" s="40">
        <f t="shared" si="2"/>
        <v>1.3175569464688897E-2</v>
      </c>
      <c r="F113" s="48">
        <v>17944.2</v>
      </c>
      <c r="G113" s="40">
        <f t="shared" si="3"/>
        <v>4.9113768095652155E-3</v>
      </c>
    </row>
    <row r="114" spans="2:7" x14ac:dyDescent="0.25">
      <c r="B114" s="49">
        <v>44977</v>
      </c>
      <c r="C114" s="48">
        <v>3552.9</v>
      </c>
      <c r="D114" s="40">
        <f t="shared" si="2"/>
        <v>2.2284908321579255E-3</v>
      </c>
      <c r="F114" s="48">
        <v>17844.599999999999</v>
      </c>
      <c r="G114" s="40">
        <f t="shared" si="3"/>
        <v>-5.5505400073562194E-3</v>
      </c>
    </row>
  </sheetData>
  <mergeCells count="3">
    <mergeCell ref="B7:D7"/>
    <mergeCell ref="F7:G7"/>
    <mergeCell ref="I7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947C-5612-49DB-9437-FE238D50B874}">
  <dimension ref="A5:G10"/>
  <sheetViews>
    <sheetView showGridLines="0" workbookViewId="0">
      <selection sqref="A1:A1048576"/>
    </sheetView>
  </sheetViews>
  <sheetFormatPr defaultRowHeight="15" x14ac:dyDescent="0.25"/>
  <cols>
    <col min="1" max="1" width="1.85546875" style="35" customWidth="1"/>
    <col min="2" max="2" width="5.7109375" bestFit="1" customWidth="1"/>
    <col min="3" max="3" width="8.7109375" bestFit="1" customWidth="1"/>
    <col min="4" max="4" width="8" bestFit="1" customWidth="1"/>
    <col min="5" max="5" width="9.5703125" bestFit="1" customWidth="1"/>
    <col min="6" max="6" width="7.5703125" bestFit="1" customWidth="1"/>
  </cols>
  <sheetData>
    <row r="5" spans="2:7" ht="30" x14ac:dyDescent="0.25">
      <c r="B5" s="35" t="s">
        <v>86</v>
      </c>
      <c r="C5" s="35" t="s">
        <v>87</v>
      </c>
      <c r="D5" s="35" t="s">
        <v>88</v>
      </c>
      <c r="E5" s="35" t="s">
        <v>89</v>
      </c>
      <c r="F5" s="35" t="s">
        <v>90</v>
      </c>
      <c r="G5" s="35" t="s">
        <v>91</v>
      </c>
    </row>
    <row r="6" spans="2:7" ht="30" x14ac:dyDescent="0.25">
      <c r="B6" s="64">
        <v>1</v>
      </c>
      <c r="C6" s="35" t="s">
        <v>92</v>
      </c>
      <c r="D6" s="64">
        <v>3525.6</v>
      </c>
      <c r="E6" s="64">
        <v>228379.45</v>
      </c>
      <c r="F6" s="64">
        <v>710.83</v>
      </c>
      <c r="G6" s="64">
        <v>0.05</v>
      </c>
    </row>
    <row r="7" spans="2:7" x14ac:dyDescent="0.25">
      <c r="B7" s="64">
        <v>2</v>
      </c>
      <c r="C7" s="35" t="s">
        <v>93</v>
      </c>
      <c r="D7" s="64">
        <v>1338.1</v>
      </c>
      <c r="E7" s="64">
        <v>47567.78</v>
      </c>
      <c r="F7" s="64">
        <v>4525.96</v>
      </c>
      <c r="G7" s="64">
        <v>1.9</v>
      </c>
    </row>
    <row r="8" spans="2:7" ht="30" x14ac:dyDescent="0.25">
      <c r="B8" s="64">
        <v>3</v>
      </c>
      <c r="C8" s="35" t="s">
        <v>94</v>
      </c>
      <c r="D8" s="64">
        <v>1168.9000000000001</v>
      </c>
      <c r="E8" s="64">
        <v>28378.34</v>
      </c>
      <c r="F8" s="64">
        <v>248.92</v>
      </c>
      <c r="G8" s="64">
        <v>0.22</v>
      </c>
    </row>
    <row r="9" spans="2:7" ht="30" x14ac:dyDescent="0.25">
      <c r="B9" s="64">
        <v>4</v>
      </c>
      <c r="C9" s="35" t="s">
        <v>95</v>
      </c>
      <c r="D9" s="64">
        <v>246.6</v>
      </c>
      <c r="E9" s="64">
        <v>23395.42</v>
      </c>
      <c r="F9" s="64">
        <v>4617.57</v>
      </c>
      <c r="G9" s="64">
        <v>1.28</v>
      </c>
    </row>
    <row r="10" spans="2:7" ht="30" x14ac:dyDescent="0.25">
      <c r="B10" s="64">
        <v>5</v>
      </c>
      <c r="C10" s="35" t="s">
        <v>96</v>
      </c>
      <c r="D10" s="64">
        <v>849.25</v>
      </c>
      <c r="E10" s="64">
        <v>23076.59</v>
      </c>
      <c r="F10" s="64">
        <v>805.48</v>
      </c>
      <c r="G10" s="64">
        <v>0.56000000000000005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8687-D866-4598-85C5-C5336D21FE2B}">
  <dimension ref="B6:G35"/>
  <sheetViews>
    <sheetView showGridLines="0" workbookViewId="0">
      <selection activeCell="E11" sqref="E11"/>
    </sheetView>
  </sheetViews>
  <sheetFormatPr defaultRowHeight="15" x14ac:dyDescent="0.25"/>
  <cols>
    <col min="1" max="1" width="1.85546875" customWidth="1"/>
    <col min="5" max="5" width="14.85546875" bestFit="1" customWidth="1"/>
  </cols>
  <sheetData>
    <row r="6" spans="2:7" x14ac:dyDescent="0.25">
      <c r="B6" s="54" t="s">
        <v>99</v>
      </c>
      <c r="C6" s="54"/>
      <c r="D6" s="54"/>
      <c r="E6" s="66"/>
      <c r="F6" s="66"/>
      <c r="G6" s="66"/>
    </row>
    <row r="8" spans="2:7" x14ac:dyDescent="0.25">
      <c r="B8" s="50" t="s">
        <v>97</v>
      </c>
      <c r="C8" s="40" t="s">
        <v>98</v>
      </c>
    </row>
    <row r="9" spans="2:7" x14ac:dyDescent="0.25">
      <c r="B9" s="50">
        <v>2000</v>
      </c>
      <c r="C9" s="40">
        <v>-0.14649999999999999</v>
      </c>
      <c r="E9" t="s">
        <v>100</v>
      </c>
      <c r="F9" s="41">
        <f>AVERAGE(C9:C34)</f>
        <v>0.1514923076923077</v>
      </c>
    </row>
    <row r="10" spans="2:7" ht="17.25" x14ac:dyDescent="0.25">
      <c r="B10" s="50">
        <v>2001</v>
      </c>
      <c r="C10" s="40">
        <v>-0.1618</v>
      </c>
      <c r="E10" t="s">
        <v>101</v>
      </c>
      <c r="F10" s="41" t="s">
        <v>102</v>
      </c>
    </row>
    <row r="11" spans="2:7" x14ac:dyDescent="0.25">
      <c r="B11" s="50">
        <v>2002</v>
      </c>
      <c r="C11" s="40">
        <v>3.2500000000000001E-2</v>
      </c>
      <c r="E11" t="s">
        <v>103</v>
      </c>
      <c r="F11" s="41">
        <f>SUM(F9:F10)</f>
        <v>0.1514923076923077</v>
      </c>
    </row>
    <row r="12" spans="2:7" x14ac:dyDescent="0.25">
      <c r="B12" s="50">
        <v>2003</v>
      </c>
      <c r="C12" s="40">
        <v>0.71900000000000008</v>
      </c>
    </row>
    <row r="13" spans="2:7" x14ac:dyDescent="0.25">
      <c r="B13" s="50">
        <v>2004</v>
      </c>
      <c r="C13" s="40">
        <v>0.10679999999999999</v>
      </c>
    </row>
    <row r="14" spans="2:7" x14ac:dyDescent="0.25">
      <c r="B14" s="50">
        <v>2005</v>
      </c>
      <c r="C14" s="40">
        <v>0.36340000000000006</v>
      </c>
    </row>
    <row r="15" spans="2:7" x14ac:dyDescent="0.25">
      <c r="B15" s="50">
        <v>2006</v>
      </c>
      <c r="C15" s="40">
        <v>0.39829999999999999</v>
      </c>
    </row>
    <row r="16" spans="2:7" x14ac:dyDescent="0.25">
      <c r="B16" s="50">
        <v>2007</v>
      </c>
      <c r="C16" s="40">
        <v>0.54770000000000008</v>
      </c>
    </row>
    <row r="17" spans="2:3" x14ac:dyDescent="0.25">
      <c r="B17" s="50">
        <v>2008</v>
      </c>
      <c r="C17" s="40">
        <v>-0.51790000000000003</v>
      </c>
    </row>
    <row r="18" spans="2:3" x14ac:dyDescent="0.25">
      <c r="B18" s="50">
        <v>2009</v>
      </c>
      <c r="C18" s="40">
        <v>0.75760000000000005</v>
      </c>
    </row>
    <row r="19" spans="2:3" x14ac:dyDescent="0.25">
      <c r="B19" s="50">
        <v>2010</v>
      </c>
      <c r="C19" s="40">
        <v>0.17949999999999999</v>
      </c>
    </row>
    <row r="20" spans="2:3" x14ac:dyDescent="0.25">
      <c r="B20" s="50">
        <v>2011</v>
      </c>
      <c r="C20" s="40">
        <v>-0.2462</v>
      </c>
    </row>
    <row r="21" spans="2:3" x14ac:dyDescent="0.25">
      <c r="B21" s="50">
        <v>2012</v>
      </c>
      <c r="C21" s="40">
        <v>0.27699999999999997</v>
      </c>
    </row>
    <row r="22" spans="2:3" x14ac:dyDescent="0.25">
      <c r="B22" s="50">
        <v>2013</v>
      </c>
      <c r="C22" s="40">
        <v>6.7599999999999993E-2</v>
      </c>
    </row>
    <row r="23" spans="2:3" x14ac:dyDescent="0.25">
      <c r="B23" s="50">
        <v>2014</v>
      </c>
      <c r="C23" s="40">
        <v>0.31390000000000001</v>
      </c>
    </row>
    <row r="24" spans="2:3" x14ac:dyDescent="0.25">
      <c r="B24" s="50">
        <v>2015</v>
      </c>
      <c r="C24" s="40">
        <v>-4.0599999999999997E-2</v>
      </c>
    </row>
    <row r="25" spans="2:3" x14ac:dyDescent="0.25">
      <c r="B25" s="50">
        <v>2016</v>
      </c>
      <c r="C25" s="40">
        <v>3.0099999999999998E-2</v>
      </c>
    </row>
    <row r="26" spans="2:3" x14ac:dyDescent="0.25">
      <c r="B26" s="50">
        <v>2017</v>
      </c>
      <c r="C26" s="40">
        <v>0.28649999999999998</v>
      </c>
    </row>
    <row r="27" spans="2:3" x14ac:dyDescent="0.25">
      <c r="B27" s="50">
        <v>2018</v>
      </c>
      <c r="C27" s="40">
        <v>3.15E-2</v>
      </c>
    </row>
    <row r="28" spans="2:3" x14ac:dyDescent="0.25">
      <c r="B28" s="50">
        <v>2019</v>
      </c>
      <c r="C28" s="40">
        <v>0.1202</v>
      </c>
    </row>
    <row r="29" spans="2:3" x14ac:dyDescent="0.25">
      <c r="B29" s="50">
        <v>2020</v>
      </c>
      <c r="C29" s="40">
        <v>0.14899999999999999</v>
      </c>
    </row>
    <row r="30" spans="2:3" x14ac:dyDescent="0.25">
      <c r="B30" s="50">
        <v>2021</v>
      </c>
      <c r="C30" s="40">
        <v>0.2412</v>
      </c>
    </row>
    <row r="31" spans="2:3" x14ac:dyDescent="0.25">
      <c r="B31" s="50">
        <v>2022</v>
      </c>
      <c r="C31" s="40">
        <v>4.3200000000000002E-2</v>
      </c>
    </row>
    <row r="32" spans="2:3" x14ac:dyDescent="0.25">
      <c r="B32" s="50">
        <v>2023</v>
      </c>
      <c r="C32" s="40">
        <v>0.19420000000000001</v>
      </c>
    </row>
    <row r="33" spans="2:3" x14ac:dyDescent="0.25">
      <c r="B33" s="50">
        <v>2024</v>
      </c>
      <c r="C33" s="40">
        <v>8.7499999999999994E-2</v>
      </c>
    </row>
    <row r="34" spans="2:3" x14ac:dyDescent="0.25">
      <c r="B34" s="50">
        <v>2025</v>
      </c>
      <c r="C34" s="40">
        <v>0.1051</v>
      </c>
    </row>
    <row r="35" spans="2:3" x14ac:dyDescent="0.25">
      <c r="B35" s="37"/>
    </row>
  </sheetData>
  <mergeCells count="2">
    <mergeCell ref="B6:D6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DCF&gt;</vt:lpstr>
      <vt:lpstr>WACC</vt:lpstr>
      <vt:lpstr>Data&gt;</vt:lpstr>
      <vt:lpstr>Beta - Regression</vt:lpstr>
      <vt:lpstr>Beta - Comps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cp:lastPrinted>2026-01-29T22:04:50Z</cp:lastPrinted>
  <dcterms:created xsi:type="dcterms:W3CDTF">2026-01-28T17:04:02Z</dcterms:created>
  <dcterms:modified xsi:type="dcterms:W3CDTF">2026-01-29T22:10:19Z</dcterms:modified>
</cp:coreProperties>
</file>