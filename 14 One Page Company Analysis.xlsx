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4405B7C-A204-4EE7-A4CD-C3273E09663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easer" sheetId="7" r:id="rId1"/>
    <sheet name="Input" sheetId="10" r:id="rId2"/>
    <sheet name="Profit &amp; Loss" sheetId="1" r:id="rId3"/>
    <sheet name="Quarters" sheetId="3" r:id="rId4"/>
    <sheet name="Balance Sheet" sheetId="2" r:id="rId5"/>
    <sheet name="Cash Flow" sheetId="4" r:id="rId6"/>
    <sheet name="Customization" sheetId="5" r:id="rId7"/>
    <sheet name="Data Sheet" sheetId="6" r:id="rId8"/>
    <sheet name="Sheet2" sheetId="9" r:id="rId9"/>
  </sheets>
  <definedNames>
    <definedName name="UPDATE">'Data Sheet'!$E$1</definedName>
  </definedName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47" i="7" l="1"/>
  <c r="M46" i="7"/>
  <c r="M44" i="7"/>
  <c r="M43" i="7"/>
  <c r="M45" i="7" s="1"/>
  <c r="M48" i="7" s="1"/>
  <c r="G28" i="7"/>
  <c r="D31" i="7"/>
  <c r="F31" i="7"/>
  <c r="D32" i="7"/>
  <c r="F32" i="7"/>
  <c r="D33" i="7"/>
  <c r="F33" i="7"/>
  <c r="D34" i="7"/>
  <c r="F34" i="7"/>
  <c r="D35" i="7"/>
  <c r="F35" i="7"/>
  <c r="D36" i="7"/>
  <c r="F36" i="7"/>
  <c r="D37" i="7"/>
  <c r="F37" i="7"/>
  <c r="D38" i="7"/>
  <c r="F38" i="7"/>
  <c r="D39" i="7"/>
  <c r="F39" i="7"/>
  <c r="F30" i="7"/>
  <c r="D30" i="7"/>
  <c r="B36" i="7"/>
  <c r="B37" i="7"/>
  <c r="B38" i="7"/>
  <c r="B39" i="7"/>
  <c r="B31" i="7"/>
  <c r="B32" i="7"/>
  <c r="B33" i="7"/>
  <c r="B34" i="7"/>
  <c r="B35" i="7"/>
  <c r="B30" i="7"/>
  <c r="E28" i="7"/>
  <c r="C28" i="7"/>
  <c r="E34" i="10"/>
  <c r="H39" i="7" s="1"/>
  <c r="E33" i="10"/>
  <c r="H38" i="7" s="1"/>
  <c r="E32" i="10"/>
  <c r="H37" i="7" s="1"/>
  <c r="E31" i="10"/>
  <c r="H36" i="7" s="1"/>
  <c r="E30" i="10"/>
  <c r="H35" i="7" s="1"/>
  <c r="E29" i="10"/>
  <c r="H34" i="7" s="1"/>
  <c r="E28" i="10"/>
  <c r="H33" i="7" s="1"/>
  <c r="E27" i="10"/>
  <c r="H32" i="7" s="1"/>
  <c r="E26" i="10"/>
  <c r="H31" i="7" s="1"/>
  <c r="E25" i="10"/>
  <c r="H30" i="7" s="1"/>
  <c r="E25" i="7"/>
  <c r="F25" i="7"/>
  <c r="G25" i="7"/>
  <c r="H25" i="7"/>
  <c r="E26" i="7"/>
  <c r="F26" i="7"/>
  <c r="G26" i="7"/>
  <c r="H26" i="7"/>
  <c r="D26" i="7"/>
  <c r="D25" i="7"/>
  <c r="E23" i="2"/>
  <c r="E22" i="7"/>
  <c r="F22" i="7"/>
  <c r="G22" i="7"/>
  <c r="H22" i="7"/>
  <c r="E23" i="7"/>
  <c r="F23" i="7"/>
  <c r="G23" i="7"/>
  <c r="H23" i="7"/>
  <c r="E24" i="7"/>
  <c r="F24" i="7"/>
  <c r="G24" i="7"/>
  <c r="H24" i="7"/>
  <c r="D24" i="7"/>
  <c r="D23" i="7"/>
  <c r="D22" i="7"/>
  <c r="H21" i="7"/>
  <c r="G21" i="7"/>
  <c r="F21" i="7"/>
  <c r="E21" i="7"/>
  <c r="D21" i="7"/>
  <c r="K40" i="1"/>
  <c r="J40" i="1"/>
  <c r="I40" i="1"/>
  <c r="H40" i="1"/>
  <c r="G40" i="1"/>
  <c r="F40" i="1"/>
  <c r="E40" i="1"/>
  <c r="D40" i="1"/>
  <c r="C40" i="1"/>
  <c r="B40" i="1"/>
  <c r="K35" i="6"/>
  <c r="J35" i="6"/>
  <c r="I35" i="6"/>
  <c r="H35" i="6"/>
  <c r="G35" i="6"/>
  <c r="F35" i="6"/>
  <c r="E35" i="6"/>
  <c r="D35" i="6"/>
  <c r="C35" i="6"/>
  <c r="B35" i="6"/>
  <c r="K39" i="1"/>
  <c r="J39" i="1"/>
  <c r="I39" i="1"/>
  <c r="H39" i="1"/>
  <c r="G39" i="1"/>
  <c r="F39" i="1"/>
  <c r="E39" i="1"/>
  <c r="D39" i="1"/>
  <c r="C39" i="1"/>
  <c r="B39" i="1"/>
  <c r="K38" i="1"/>
  <c r="J38" i="1"/>
  <c r="I38" i="1"/>
  <c r="H38" i="1"/>
  <c r="G38" i="1"/>
  <c r="F38" i="1"/>
  <c r="E38" i="1"/>
  <c r="D38" i="1"/>
  <c r="C38" i="1"/>
  <c r="B38" i="1"/>
  <c r="K36" i="1"/>
  <c r="J36" i="1"/>
  <c r="I36" i="1"/>
  <c r="H36" i="1"/>
  <c r="G36" i="1"/>
  <c r="F36" i="1"/>
  <c r="E36" i="1"/>
  <c r="D36" i="1"/>
  <c r="C36" i="1"/>
  <c r="B36" i="1"/>
  <c r="K35" i="1"/>
  <c r="J35" i="1"/>
  <c r="I35" i="1"/>
  <c r="H35" i="1"/>
  <c r="G35" i="1"/>
  <c r="F35" i="1"/>
  <c r="E35" i="1"/>
  <c r="D35" i="1"/>
  <c r="C35" i="1"/>
  <c r="B35" i="1"/>
  <c r="K34" i="1"/>
  <c r="J34" i="1"/>
  <c r="I34" i="1"/>
  <c r="H34" i="1"/>
  <c r="G34" i="1"/>
  <c r="F34" i="1"/>
  <c r="E34" i="1"/>
  <c r="D34" i="1"/>
  <c r="C34" i="1"/>
  <c r="B34" i="1"/>
  <c r="K33" i="1"/>
  <c r="J33" i="1"/>
  <c r="I33" i="1"/>
  <c r="H33" i="1"/>
  <c r="G33" i="1"/>
  <c r="F33" i="1"/>
  <c r="E33" i="1"/>
  <c r="D33" i="1"/>
  <c r="C33" i="1"/>
  <c r="B33" i="1"/>
  <c r="H17" i="7"/>
  <c r="G17" i="7"/>
  <c r="F17" i="7"/>
  <c r="E17" i="7"/>
  <c r="D17" i="7"/>
  <c r="K31" i="1"/>
  <c r="J31" i="1"/>
  <c r="I31" i="1"/>
  <c r="H31" i="1"/>
  <c r="G31" i="1"/>
  <c r="F31" i="1"/>
  <c r="E31" i="1"/>
  <c r="D31" i="1"/>
  <c r="C31" i="1"/>
  <c r="H16" i="7"/>
  <c r="G16" i="7"/>
  <c r="F16" i="7"/>
  <c r="E16" i="7"/>
  <c r="D16" i="7"/>
  <c r="H15" i="7"/>
  <c r="G15" i="7"/>
  <c r="F15" i="7"/>
  <c r="E15" i="7"/>
  <c r="D15" i="7"/>
  <c r="K30" i="1"/>
  <c r="J30" i="1"/>
  <c r="I30" i="1"/>
  <c r="H30" i="1"/>
  <c r="G30" i="1"/>
  <c r="F30" i="1"/>
  <c r="E30" i="1"/>
  <c r="D30" i="1"/>
  <c r="C30" i="1"/>
  <c r="B30" i="1"/>
  <c r="K29" i="1"/>
  <c r="J29" i="1"/>
  <c r="I29" i="1"/>
  <c r="H29" i="1"/>
  <c r="G29" i="1"/>
  <c r="F29" i="1"/>
  <c r="E29" i="1"/>
  <c r="D29" i="1"/>
  <c r="C29" i="1"/>
  <c r="H14" i="7"/>
  <c r="G14" i="7"/>
  <c r="F14" i="7"/>
  <c r="E14" i="7"/>
  <c r="D14" i="7"/>
  <c r="H13" i="7"/>
  <c r="G13" i="7"/>
  <c r="F13" i="7"/>
  <c r="E13" i="7"/>
  <c r="D13" i="7"/>
  <c r="K28" i="1"/>
  <c r="J28" i="1"/>
  <c r="I28" i="1"/>
  <c r="H28" i="1"/>
  <c r="G28" i="1"/>
  <c r="F28" i="1"/>
  <c r="E28" i="1"/>
  <c r="D28" i="1"/>
  <c r="C28" i="1"/>
  <c r="B28" i="1"/>
  <c r="H12" i="7"/>
  <c r="G12" i="7"/>
  <c r="F12" i="7"/>
  <c r="E12" i="7"/>
  <c r="D12" i="7"/>
  <c r="K27" i="1"/>
  <c r="J27" i="1"/>
  <c r="I27" i="1"/>
  <c r="H27" i="1"/>
  <c r="G27" i="1"/>
  <c r="F27" i="1"/>
  <c r="E27" i="1"/>
  <c r="D27" i="1"/>
  <c r="C27" i="1"/>
  <c r="B27" i="1"/>
  <c r="H11" i="7"/>
  <c r="G11" i="7"/>
  <c r="F11" i="7"/>
  <c r="E11" i="7"/>
  <c r="D11" i="7"/>
  <c r="H10" i="7"/>
  <c r="G10" i="7"/>
  <c r="F10" i="7"/>
  <c r="E10" i="7"/>
  <c r="D10" i="7"/>
  <c r="K37" i="6"/>
  <c r="J37" i="6"/>
  <c r="I37" i="6"/>
  <c r="H37" i="6"/>
  <c r="G37" i="6"/>
  <c r="F37" i="6"/>
  <c r="E37" i="6"/>
  <c r="D37" i="6"/>
  <c r="C37" i="6"/>
  <c r="B37" i="6"/>
  <c r="K36" i="6"/>
  <c r="J36" i="6"/>
  <c r="I36" i="6"/>
  <c r="H36" i="6"/>
  <c r="G36" i="6"/>
  <c r="F36" i="6"/>
  <c r="E36" i="6"/>
  <c r="D36" i="6"/>
  <c r="C36" i="6"/>
  <c r="B36" i="6"/>
  <c r="H9" i="7"/>
  <c r="G9" i="7"/>
  <c r="F9" i="7"/>
  <c r="E9" i="7"/>
  <c r="D9" i="7"/>
  <c r="K34" i="6"/>
  <c r="J34" i="6"/>
  <c r="I34" i="6"/>
  <c r="H34" i="6"/>
  <c r="G34" i="6"/>
  <c r="F34" i="6"/>
  <c r="E34" i="6"/>
  <c r="D34" i="6"/>
  <c r="C34" i="6"/>
  <c r="H8" i="7"/>
  <c r="G8" i="7"/>
  <c r="F8" i="7"/>
  <c r="E8" i="7"/>
  <c r="D8" i="7"/>
  <c r="E6" i="7"/>
  <c r="E19" i="7" s="1"/>
  <c r="F6" i="7"/>
  <c r="F19" i="7" s="1"/>
  <c r="G6" i="7"/>
  <c r="G19" i="7" s="1"/>
  <c r="H6" i="7"/>
  <c r="H19" i="7" s="1"/>
  <c r="D6" i="7"/>
  <c r="D19" i="7" s="1"/>
  <c r="B2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D16" i="2" s="1"/>
  <c r="E13" i="2"/>
  <c r="E16" i="2" s="1"/>
  <c r="F13" i="2"/>
  <c r="G13" i="2"/>
  <c r="H13" i="2"/>
  <c r="H16" i="2" s="1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H13" i="1" s="1"/>
  <c r="I12" i="1"/>
  <c r="J12" i="1"/>
  <c r="J13" i="1" s="1"/>
  <c r="J14" i="1" s="1"/>
  <c r="K12" i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E1" i="6"/>
  <c r="H1" i="1" s="1"/>
  <c r="E1" i="2"/>
  <c r="E1" i="3"/>
  <c r="K16" i="2"/>
  <c r="C16" i="2"/>
  <c r="F16" i="2"/>
  <c r="E6" i="1"/>
  <c r="E19" i="1"/>
  <c r="H23" i="2"/>
  <c r="D23" i="2"/>
  <c r="I6" i="1"/>
  <c r="I19" i="1" s="1"/>
  <c r="J6" i="1"/>
  <c r="J19" i="1" s="1"/>
  <c r="K6" i="1"/>
  <c r="K19" i="1" s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 s="1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19" i="1" s="1"/>
  <c r="L24" i="1" s="1"/>
  <c r="L4" i="1"/>
  <c r="L23" i="1" s="1"/>
  <c r="A1" i="3"/>
  <c r="A1" i="2"/>
  <c r="A1" i="4" s="1"/>
  <c r="H23" i="1"/>
  <c r="I23" i="1"/>
  <c r="J23" i="1"/>
  <c r="L5" i="1"/>
  <c r="M11" i="1"/>
  <c r="G16" i="2" l="1"/>
  <c r="K24" i="1"/>
  <c r="H14" i="1"/>
  <c r="B20" i="2"/>
  <c r="E24" i="2"/>
  <c r="H24" i="2"/>
  <c r="I24" i="2"/>
  <c r="K24" i="2"/>
  <c r="J23" i="2"/>
  <c r="C24" i="2"/>
  <c r="D13" i="1"/>
  <c r="D24" i="2"/>
  <c r="I16" i="2"/>
  <c r="B16" i="2"/>
  <c r="F24" i="2"/>
  <c r="G24" i="2"/>
  <c r="J24" i="2"/>
  <c r="C23" i="2"/>
  <c r="C13" i="1"/>
  <c r="C14" i="1" s="1"/>
  <c r="F23" i="2"/>
  <c r="F13" i="1"/>
  <c r="F14" i="1" s="1"/>
  <c r="G23" i="2"/>
  <c r="G13" i="1"/>
  <c r="G14" i="1" s="1"/>
  <c r="I13" i="1"/>
  <c r="I14" i="1" s="1"/>
  <c r="K25" i="1" s="1"/>
  <c r="M25" i="1" s="1"/>
  <c r="M14" i="1" s="1"/>
  <c r="I23" i="2"/>
  <c r="K23" i="2"/>
  <c r="K13" i="1"/>
  <c r="K14" i="1" s="1"/>
  <c r="B23" i="2"/>
  <c r="B13" i="1"/>
  <c r="B14" i="1" s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D14" i="1" l="1"/>
  <c r="H25" i="1" s="1"/>
  <c r="E13" i="1"/>
  <c r="E14" i="1" s="1"/>
  <c r="I25" i="1" s="1"/>
  <c r="M23" i="1"/>
  <c r="M4" i="1" s="1"/>
  <c r="N23" i="1"/>
  <c r="N4" i="1" s="1"/>
  <c r="H24" i="1"/>
  <c r="I24" i="1"/>
  <c r="M6" i="1"/>
  <c r="M10" i="1" s="1"/>
  <c r="M12" i="1" s="1"/>
  <c r="M13" i="1" s="1"/>
  <c r="M15" i="1" s="1"/>
  <c r="N24" i="1" l="1"/>
  <c r="N6" i="1" s="1"/>
  <c r="N25" i="1"/>
  <c r="N14" i="1" s="1"/>
  <c r="M5" i="1"/>
  <c r="N5" i="1" l="1"/>
  <c r="N10" i="1"/>
  <c r="N12" i="1" s="1"/>
  <c r="N13" i="1" s="1"/>
  <c r="N15" i="1" s="1"/>
</calcChain>
</file>

<file path=xl/sharedStrings.xml><?xml version="1.0" encoding="utf-8"?>
<sst xmlns="http://schemas.openxmlformats.org/spreadsheetml/2006/main" count="427" uniqueCount="279">
  <si>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</si>
  <si>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</si>
  <si>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</si>
  <si>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</si>
  <si>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</si>
  <si>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</si>
  <si>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</si>
  <si>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</si>
  <si>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</si>
  <si>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</si>
  <si>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</si>
  <si>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</si>
  <si>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</si>
  <si>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</si>
  <si>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</si>
  <si>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</si>
  <si>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</si>
  <si>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</si>
  <si>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</si>
  <si>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</si>
  <si>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</si>
  <si>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</si>
  <si>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</si>
  <si>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</si>
  <si>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</si>
  <si>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</si>
  <si>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</si>
  <si>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</si>
  <si>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</si>
  <si>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</si>
  <si>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</si>
  <si>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</si>
  <si>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</si>
  <si>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</si>
  <si>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</si>
  <si>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</si>
  <si>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</si>
  <si>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</si>
  <si>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</si>
  <si>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</si>
  <si>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</si>
  <si>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</si>
  <si>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</si>
  <si>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</si>
  <si>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</si>
  <si>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</si>
  <si>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</si>
  <si>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</si>
  <si>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</si>
  <si>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</si>
  <si>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</si>
  <si>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</si>
  <si>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</si>
  <si>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</si>
  <si>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</si>
  <si>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</si>
  <si>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</si>
  <si>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</si>
  <si>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</si>
  <si>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</si>
  <si>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</si>
  <si>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</si>
  <si>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</si>
  <si>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</si>
  <si>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</si>
  <si>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</si>
  <si>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</si>
  <si>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</si>
  <si>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</si>
  <si>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</si>
  <si>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</si>
  <si>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</si>
  <si>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</si>
  <si>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</si>
  <si>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</si>
  <si>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</si>
  <si>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</si>
  <si>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</si>
  <si>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</si>
  <si>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</si>
  <si>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</si>
  <si>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</si>
  <si>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</si>
  <si>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</si>
  <si>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</si>
  <si>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</si>
  <si>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</si>
  <si>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</si>
  <si>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</si>
  <si>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</si>
  <si>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</si>
  <si>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</si>
  <si>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</si>
  <si>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Established in 1910, ITC is the largest cigarette manufacturer and seller in the country. ITC operates in four business segments at present — FMCG Cigarettes, FMCG Others, Paperboards, Paper and Packaging, and Agri Business.</t>
  </si>
  <si>
    <t>Key Financial Metrics</t>
  </si>
  <si>
    <t xml:space="preserve">Total Sales </t>
  </si>
  <si>
    <t>INR (Crs)</t>
  </si>
  <si>
    <t>Sales Growth Y-o-Y</t>
  </si>
  <si>
    <t>Sales Growth (y-o-y)</t>
  </si>
  <si>
    <t>Gross Profit</t>
  </si>
  <si>
    <t>Gross Profit Margin</t>
  </si>
  <si>
    <t>Gross Profit Margins (%)</t>
  </si>
  <si>
    <t>EBITDA Margins (%)</t>
  </si>
  <si>
    <t>EBIT Margins</t>
  </si>
  <si>
    <t>EBIT Margins (%)</t>
  </si>
  <si>
    <t>Net Margins</t>
  </si>
  <si>
    <t>Net Profit Margins (%)</t>
  </si>
  <si>
    <t>Earning Per Share (in ₹)</t>
  </si>
  <si>
    <t>EPS Growth</t>
  </si>
  <si>
    <t>Dividend per Share</t>
  </si>
  <si>
    <t>EPS Growth (y-o-y)</t>
  </si>
  <si>
    <t>Dividend Per Share (in ₹)</t>
  </si>
  <si>
    <t>DPS Growth (y-o-y)</t>
  </si>
  <si>
    <t>Date</t>
  </si>
  <si>
    <t>Volume</t>
  </si>
  <si>
    <t>Share Price - 5Y</t>
  </si>
  <si>
    <t>DPS Growth</t>
  </si>
  <si>
    <t>Debt</t>
  </si>
  <si>
    <t>Cash</t>
  </si>
  <si>
    <t>Enterprise value</t>
  </si>
  <si>
    <t>EV/EBITDA</t>
  </si>
  <si>
    <t>EV/Sale</t>
  </si>
  <si>
    <t>Book Value</t>
  </si>
  <si>
    <t>P/B</t>
  </si>
  <si>
    <t>Key Financial Ratios</t>
  </si>
  <si>
    <t xml:space="preserve">EV/EBITDA </t>
  </si>
  <si>
    <t>EV/Sales</t>
  </si>
  <si>
    <t>Return on Capital Employed (%)</t>
  </si>
  <si>
    <t>Retrun on Equity (%)</t>
  </si>
  <si>
    <t>Adj Close</t>
  </si>
  <si>
    <t>Volume (in millions) - 5Y</t>
  </si>
  <si>
    <t>No. of Months
Qtr. Ending</t>
  </si>
  <si>
    <t>3
Mar-24</t>
  </si>
  <si>
    <t>3
Jun-24</t>
  </si>
  <si>
    <t>3
Sep-24</t>
  </si>
  <si>
    <t>3
Dec-24</t>
  </si>
  <si>
    <t>3
Mar-25</t>
  </si>
  <si>
    <t>3
Jun-25</t>
  </si>
  <si>
    <t>3
Sep-25</t>
  </si>
  <si>
    <t>3
Dec-25</t>
  </si>
  <si>
    <t>Indian Promoters</t>
  </si>
  <si>
    <t>%</t>
  </si>
  <si>
    <t>0.00</t>
  </si>
  <si>
    <t>Foreign Promoters</t>
  </si>
  <si>
    <t>Total Promoters</t>
  </si>
  <si>
    <t>Mutual Funds</t>
  </si>
  <si>
    <t>11.56</t>
  </si>
  <si>
    <t>11.93</t>
  </si>
  <si>
    <t>12.76</t>
  </si>
  <si>
    <t>12.87</t>
  </si>
  <si>
    <t>13.76</t>
  </si>
  <si>
    <t>14.30</t>
  </si>
  <si>
    <t>16.17</t>
  </si>
  <si>
    <t>Financial institution/Banks/Insurance</t>
  </si>
  <si>
    <t>27.97</t>
  </si>
  <si>
    <t>27.76</t>
  </si>
  <si>
    <t>27.96</t>
  </si>
  <si>
    <t>28.06</t>
  </si>
  <si>
    <t>28.26</t>
  </si>
  <si>
    <t>28.05</t>
  </si>
  <si>
    <t>Government</t>
  </si>
  <si>
    <t>0.04</t>
  </si>
  <si>
    <t>FII</t>
  </si>
  <si>
    <t>40.95</t>
  </si>
  <si>
    <t>40.47</t>
  </si>
  <si>
    <t>40.53</t>
  </si>
  <si>
    <t>40.17</t>
  </si>
  <si>
    <t>39.87</t>
  </si>
  <si>
    <t>37.98</t>
  </si>
  <si>
    <t>37.39</t>
  </si>
  <si>
    <t>36.11</t>
  </si>
  <si>
    <t>Other</t>
  </si>
  <si>
    <t>4.17</t>
  </si>
  <si>
    <t>4.12</t>
  </si>
  <si>
    <t>4.08</t>
  </si>
  <si>
    <t>4.09</t>
  </si>
  <si>
    <t>4.25</t>
  </si>
  <si>
    <t>4.88</t>
  </si>
  <si>
    <t>4.85</t>
  </si>
  <si>
    <t>4.68</t>
  </si>
  <si>
    <t>Total Institutions</t>
  </si>
  <si>
    <t>84.76</t>
  </si>
  <si>
    <t>84.53</t>
  </si>
  <si>
    <t>85.17</t>
  </si>
  <si>
    <t>85.13</t>
  </si>
  <si>
    <t>85.09</t>
  </si>
  <si>
    <t>84.92</t>
  </si>
  <si>
    <t>84.84</t>
  </si>
  <si>
    <t>85.05</t>
  </si>
  <si>
    <t>Bodies Corporate</t>
  </si>
  <si>
    <t>0.94</t>
  </si>
  <si>
    <t>0.99</t>
  </si>
  <si>
    <t>0.93</t>
  </si>
  <si>
    <t>0.89</t>
  </si>
  <si>
    <t>0.88</t>
  </si>
  <si>
    <t>0.90</t>
  </si>
  <si>
    <t>0.92</t>
  </si>
  <si>
    <t>Individuals</t>
  </si>
  <si>
    <t>13.08</t>
  </si>
  <si>
    <t>13.30</t>
  </si>
  <si>
    <t>12.43</t>
  </si>
  <si>
    <t>12.39</t>
  </si>
  <si>
    <t>12.58</t>
  </si>
  <si>
    <t>12.64</t>
  </si>
  <si>
    <t>12.42</t>
  </si>
  <si>
    <t>NRIs/OCBs</t>
  </si>
  <si>
    <t>0.87</t>
  </si>
  <si>
    <t>ADR/GDR</t>
  </si>
  <si>
    <t>Others</t>
  </si>
  <si>
    <t>0.36</t>
  </si>
  <si>
    <t>0.30</t>
  </si>
  <si>
    <t>0.60</t>
  </si>
  <si>
    <t>0.71</t>
  </si>
  <si>
    <t>0.70</t>
  </si>
  <si>
    <t>0.69</t>
  </si>
  <si>
    <t>0.68</t>
  </si>
  <si>
    <t>Total Non-Institution</t>
  </si>
  <si>
    <t>15.25</t>
  </si>
  <si>
    <t>15.47</t>
  </si>
  <si>
    <t>14.84</t>
  </si>
  <si>
    <t>14.88</t>
  </si>
  <si>
    <t>14.91</t>
  </si>
  <si>
    <t>15.08</t>
  </si>
  <si>
    <t>15.17</t>
  </si>
  <si>
    <t>14.95</t>
  </si>
  <si>
    <t>Total Public</t>
  </si>
  <si>
    <t>100.00</t>
  </si>
  <si>
    <t>Grand Total</t>
  </si>
  <si>
    <t>Pledged Promoter Holding</t>
  </si>
  <si>
    <t>Shareholder's name</t>
  </si>
  <si>
    <t>Shareholding (%)</t>
  </si>
  <si>
    <t>Tobacco Manufacturers (India) Limited</t>
  </si>
  <si>
    <t>Life Insurance Corporation of India</t>
  </si>
  <si>
    <t>Specified Undertaking of the Unit Trust of India</t>
  </si>
  <si>
    <t>Myddleton Investment Company Limited</t>
  </si>
  <si>
    <t>SBI Mutual Funds</t>
  </si>
  <si>
    <t>ICICI Prudential Mutual Funds</t>
  </si>
  <si>
    <t>QIB - Insurance Company Registered</t>
  </si>
  <si>
    <t>GQG Partners Emerging Markets Equity Fund</t>
  </si>
  <si>
    <t>General Insurance Corporation of India</t>
  </si>
  <si>
    <t>NPS Trust (various Pension Funds)</t>
  </si>
  <si>
    <t>Top Shareholders of ITC</t>
  </si>
  <si>
    <t>Share Holding Pattern</t>
  </si>
  <si>
    <t>Top 10 Shareholders</t>
  </si>
  <si>
    <t>N. share (in Crs.)</t>
  </si>
  <si>
    <t>Market Value (in Crs)</t>
  </si>
  <si>
    <t>DII</t>
  </si>
  <si>
    <t xml:space="preserve">Public </t>
  </si>
  <si>
    <t>Captial Structure</t>
  </si>
  <si>
    <t>Share Price as on 25/2/26</t>
  </si>
  <si>
    <t>Number of Share o/s</t>
  </si>
  <si>
    <t>Less: Cash &amp; Equivalents</t>
  </si>
  <si>
    <t>Add: Total Debt</t>
  </si>
  <si>
    <t>non controlling interest</t>
  </si>
  <si>
    <t>Enterprise Value</t>
  </si>
  <si>
    <t>Managerial Remuneration</t>
  </si>
  <si>
    <t>Designation</t>
  </si>
  <si>
    <t>X of Median Salary</t>
  </si>
  <si>
    <t>S Puri</t>
  </si>
  <si>
    <t>S Dutta</t>
  </si>
  <si>
    <t>H Malik</t>
  </si>
  <si>
    <t xml:space="preserve">B Sumant </t>
  </si>
  <si>
    <t>CMD</t>
  </si>
  <si>
    <t>Exec Director (ED)</t>
  </si>
  <si>
    <t>ED</t>
  </si>
  <si>
    <t>ED &amp; CFO</t>
  </si>
  <si>
    <t>377 : 1</t>
  </si>
  <si>
    <t>132 : 1</t>
  </si>
  <si>
    <t>99 : 1</t>
  </si>
  <si>
    <t>174 : 1</t>
  </si>
  <si>
    <t>R K Singhi</t>
  </si>
  <si>
    <t>Exec VP &amp; CS</t>
  </si>
  <si>
    <t>47 : 1</t>
  </si>
  <si>
    <t>Remuneration</t>
  </si>
  <si>
    <t>Recent Updates</t>
  </si>
  <si>
    <t>. DGGI arrests two in 102cr fake ITC racket</t>
  </si>
  <si>
    <t>. ITC jumps 3% on report of cigarette price hike; analysts see base formation</t>
  </si>
  <si>
    <t>. General Mills joins ITC and PE giants in race for 10% Balaji Wafers stake</t>
  </si>
  <si>
    <t>. FHRAI calls for restoration of ITC to safeguard affordability in hospitality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</si>
</sst>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0.00&quot;x&quot;"/>
    <numFmt numFmtId="168" formatCode="_ * #,##0_ ;_ * \-#,##0_ ;_ * &quot;-&quot;??_ ;_ @_ "/>
    <numFmt numFmtId="172" formatCode="#,##0;\(###0\)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color rgb="FF1F1F1F"/>
      <name val="Google Sans Mono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62F62"/>
        <bgColor indexed="64"/>
      </patternFill>
    </fill>
    <fill>
      <patternFill patternType="solid">
        <fgColor rgb="FFF0F4F9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62F62"/>
      </top>
      <bottom style="hair">
        <color rgb="FF062F62"/>
      </bottom>
      <diagonal/>
    </border>
    <border>
      <left/>
      <right/>
      <top style="thin">
        <color rgb="FF062F62"/>
      </top>
      <bottom style="medium">
        <color rgb="FF062F62"/>
      </bottom>
      <diagonal/>
    </border>
    <border>
      <left/>
      <right/>
      <top style="hair">
        <color rgb="FF062F62"/>
      </top>
      <bottom/>
      <diagonal/>
    </border>
    <border>
      <left/>
      <right/>
      <top/>
      <bottom style="hair">
        <color rgb="FF062F62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96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0" fontId="0" fillId="0" borderId="1" xfId="0" applyBorder="1"/>
    <xf numFmtId="17" fontId="10" fillId="6" borderId="0" xfId="0" applyNumberFormat="1" applyFont="1" applyFill="1"/>
    <xf numFmtId="3" fontId="0" fillId="0" borderId="0" xfId="0" applyNumberFormat="1"/>
    <xf numFmtId="0" fontId="12" fillId="0" borderId="0" xfId="0" applyFont="1"/>
    <xf numFmtId="10" fontId="0" fillId="0" borderId="0" xfId="6" applyNumberFormat="1" applyFont="1" applyBorder="1"/>
    <xf numFmtId="9" fontId="0" fillId="0" borderId="0" xfId="6" applyFont="1"/>
    <xf numFmtId="10" fontId="0" fillId="0" borderId="0" xfId="6" applyNumberFormat="1" applyFont="1"/>
    <xf numFmtId="43" fontId="0" fillId="0" borderId="0" xfId="0" applyNumberFormat="1"/>
    <xf numFmtId="0" fontId="13" fillId="0" borderId="2" xfId="0" applyFont="1" applyBorder="1" applyAlignment="1">
      <alignment wrapText="1"/>
    </xf>
    <xf numFmtId="0" fontId="13" fillId="0" borderId="2" xfId="0" applyFont="1" applyBorder="1" applyAlignment="1">
      <alignment horizontal="right" wrapText="1"/>
    </xf>
    <xf numFmtId="14" fontId="0" fillId="0" borderId="0" xfId="0" applyNumberFormat="1" applyAlignment="1">
      <alignment horizontal="right" indent="1"/>
    </xf>
    <xf numFmtId="9" fontId="0" fillId="0" borderId="0" xfId="0" applyNumberFormat="1"/>
    <xf numFmtId="0" fontId="15" fillId="7" borderId="2" xfId="0" applyFont="1" applyFill="1" applyBorder="1" applyAlignment="1">
      <alignment wrapText="1"/>
    </xf>
    <xf numFmtId="14" fontId="13" fillId="0" borderId="2" xfId="0" applyNumberFormat="1" applyFont="1" applyBorder="1" applyAlignment="1">
      <alignment horizontal="right" wrapText="1"/>
    </xf>
    <xf numFmtId="9" fontId="16" fillId="8" borderId="3" xfId="6" applyFont="1" applyFill="1" applyBorder="1" applyAlignment="1">
      <alignment horizontal="right" wrapText="1"/>
    </xf>
    <xf numFmtId="9" fontId="16" fillId="8" borderId="3" xfId="6" applyFont="1" applyFill="1" applyBorder="1" applyAlignment="1">
      <alignment horizontal="left"/>
    </xf>
    <xf numFmtId="9" fontId="16" fillId="8" borderId="3" xfId="6" applyFont="1" applyFill="1" applyBorder="1" applyAlignment="1">
      <alignment horizontal="right"/>
    </xf>
    <xf numFmtId="9" fontId="16" fillId="8" borderId="0" xfId="6" applyFont="1" applyFill="1" applyBorder="1" applyAlignment="1">
      <alignment horizontal="right"/>
    </xf>
    <xf numFmtId="9" fontId="10" fillId="0" borderId="0" xfId="6" applyFont="1" applyFill="1" applyAlignment="1"/>
    <xf numFmtId="9" fontId="0" fillId="0" borderId="3" xfId="6" applyFont="1" applyBorder="1"/>
    <xf numFmtId="10" fontId="0" fillId="0" borderId="3" xfId="6" applyNumberFormat="1" applyFont="1" applyBorder="1"/>
    <xf numFmtId="0" fontId="0" fillId="0" borderId="0" xfId="6" applyNumberFormat="1" applyFont="1"/>
    <xf numFmtId="2" fontId="0" fillId="0" borderId="3" xfId="6" applyNumberFormat="1" applyFont="1" applyBorder="1"/>
    <xf numFmtId="9" fontId="1" fillId="0" borderId="3" xfId="6" applyFont="1" applyBorder="1"/>
    <xf numFmtId="9" fontId="17" fillId="8" borderId="3" xfId="6" applyFont="1" applyFill="1" applyBorder="1" applyAlignment="1">
      <alignment horizontal="right"/>
    </xf>
    <xf numFmtId="9" fontId="10" fillId="0" borderId="0" xfId="6" applyFont="1" applyFill="1" applyBorder="1" applyAlignment="1"/>
    <xf numFmtId="0" fontId="18" fillId="6" borderId="0" xfId="0" applyFont="1" applyFill="1"/>
    <xf numFmtId="0" fontId="18" fillId="6" borderId="0" xfId="0" applyFont="1" applyFill="1" applyAlignment="1">
      <alignment horizontal="left" indent="8"/>
    </xf>
    <xf numFmtId="17" fontId="18" fillId="6" borderId="0" xfId="0" applyNumberFormat="1" applyFont="1" applyFill="1"/>
    <xf numFmtId="17" fontId="0" fillId="0" borderId="0" xfId="6" applyNumberFormat="1" applyFont="1"/>
    <xf numFmtId="0" fontId="18" fillId="6" borderId="0" xfId="0" applyFont="1" applyFill="1" applyAlignment="1">
      <alignment horizontal="center"/>
    </xf>
    <xf numFmtId="9" fontId="18" fillId="6" borderId="0" xfId="0" applyNumberFormat="1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1" fillId="0" borderId="1" xfId="0" applyFont="1" applyBorder="1" applyAlignment="1">
      <alignment horizontal="center" wrapText="1"/>
    </xf>
    <xf numFmtId="9" fontId="10" fillId="6" borderId="4" xfId="6" applyFont="1" applyFill="1" applyBorder="1" applyAlignment="1">
      <alignment horizontal="center"/>
    </xf>
    <xf numFmtId="9" fontId="10" fillId="6" borderId="0" xfId="6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5" xfId="0" applyBorder="1"/>
    <xf numFmtId="3" fontId="0" fillId="0" borderId="5" xfId="0" applyNumberFormat="1" applyBorder="1"/>
    <xf numFmtId="10" fontId="0" fillId="0" borderId="5" xfId="0" applyNumberFormat="1" applyBorder="1"/>
    <xf numFmtId="43" fontId="0" fillId="0" borderId="5" xfId="0" applyNumberFormat="1" applyBorder="1"/>
    <xf numFmtId="166" fontId="0" fillId="0" borderId="5" xfId="0" applyNumberFormat="1" applyBorder="1"/>
    <xf numFmtId="9" fontId="0" fillId="0" borderId="5" xfId="0" applyNumberFormat="1" applyBorder="1"/>
    <xf numFmtId="2" fontId="0" fillId="0" borderId="5" xfId="0" applyNumberFormat="1" applyBorder="1" applyAlignment="1">
      <alignment horizontal="left"/>
    </xf>
    <xf numFmtId="10" fontId="0" fillId="0" borderId="5" xfId="6" applyNumberFormat="1" applyFont="1" applyBorder="1" applyAlignment="1">
      <alignment horizontal="left"/>
    </xf>
    <xf numFmtId="9" fontId="0" fillId="0" borderId="0" xfId="0" applyNumberFormat="1" applyBorder="1"/>
    <xf numFmtId="0" fontId="0" fillId="0" borderId="0" xfId="0" applyBorder="1"/>
    <xf numFmtId="2" fontId="0" fillId="0" borderId="0" xfId="0" applyNumberFormat="1" applyBorder="1" applyAlignment="1">
      <alignment horizontal="left"/>
    </xf>
    <xf numFmtId="10" fontId="0" fillId="0" borderId="0" xfId="6" applyNumberFormat="1" applyFont="1" applyBorder="1" applyAlignment="1">
      <alignment horizontal="left"/>
    </xf>
    <xf numFmtId="0" fontId="18" fillId="6" borderId="0" xfId="0" applyFont="1" applyFill="1" applyAlignment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 indent="6"/>
    </xf>
    <xf numFmtId="0" fontId="0" fillId="0" borderId="6" xfId="0" applyBorder="1"/>
    <xf numFmtId="168" fontId="0" fillId="0" borderId="6" xfId="0" applyNumberFormat="1" applyBorder="1" applyAlignment="1">
      <alignment horizontal="right"/>
    </xf>
    <xf numFmtId="0" fontId="0" fillId="0" borderId="8" xfId="0" applyBorder="1"/>
    <xf numFmtId="168" fontId="0" fillId="0" borderId="8" xfId="0" applyNumberFormat="1" applyBorder="1" applyAlignment="1">
      <alignment horizontal="right"/>
    </xf>
    <xf numFmtId="0" fontId="0" fillId="0" borderId="9" xfId="0" applyBorder="1" applyAlignment="1">
      <alignment horizontal="left" indent="1"/>
    </xf>
    <xf numFmtId="0" fontId="0" fillId="0" borderId="9" xfId="0" applyBorder="1"/>
    <xf numFmtId="172" fontId="0" fillId="0" borderId="9" xfId="0" applyNumberFormat="1" applyBorder="1" applyAlignment="1">
      <alignment horizontal="right"/>
    </xf>
    <xf numFmtId="0" fontId="1" fillId="0" borderId="7" xfId="0" applyFont="1" applyBorder="1"/>
    <xf numFmtId="168" fontId="1" fillId="0" borderId="7" xfId="0" applyNumberFormat="1" applyFont="1" applyBorder="1" applyAlignment="1">
      <alignment horizontal="right"/>
    </xf>
    <xf numFmtId="0" fontId="0" fillId="0" borderId="8" xfId="0" applyBorder="1" applyAlignment="1">
      <alignment horizontal="left" indent="1"/>
    </xf>
    <xf numFmtId="0" fontId="0" fillId="0" borderId="7" xfId="0" applyBorder="1"/>
    <xf numFmtId="168" fontId="1" fillId="0" borderId="7" xfId="0" applyNumberFormat="1" applyFont="1" applyBorder="1"/>
    <xf numFmtId="0" fontId="0" fillId="0" borderId="0" xfId="0" applyFill="1"/>
    <xf numFmtId="0" fontId="19" fillId="0" borderId="0" xfId="0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 indent="1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62F62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 cap="rnd">
              <a:solidFill>
                <a:srgbClr val="062F62"/>
              </a:solidFill>
              <a:round/>
            </a:ln>
            <a:effectLst/>
          </c:spPr>
          <c:marker>
            <c:symbol val="none"/>
          </c:marker>
          <c:cat>
            <c:numRef>
              <c:f>Sheet2!$A$2:$A$1008</c:f>
              <c:numCache>
                <c:formatCode>m/d/yyyy</c:formatCode>
                <c:ptCount val="1007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44235</c:v>
                </c:pt>
                <c:pt idx="6">
                  <c:v>44236</c:v>
                </c:pt>
                <c:pt idx="7">
                  <c:v>44237</c:v>
                </c:pt>
                <c:pt idx="8">
                  <c:v>44238</c:v>
                </c:pt>
                <c:pt idx="9">
                  <c:v>44239</c:v>
                </c:pt>
                <c:pt idx="10">
                  <c:v>44242</c:v>
                </c:pt>
                <c:pt idx="11">
                  <c:v>44243</c:v>
                </c:pt>
                <c:pt idx="12">
                  <c:v>44244</c:v>
                </c:pt>
                <c:pt idx="13">
                  <c:v>44245</c:v>
                </c:pt>
                <c:pt idx="14">
                  <c:v>44246</c:v>
                </c:pt>
                <c:pt idx="15">
                  <c:v>44249</c:v>
                </c:pt>
                <c:pt idx="16">
                  <c:v>44250</c:v>
                </c:pt>
                <c:pt idx="17">
                  <c:v>44251</c:v>
                </c:pt>
                <c:pt idx="18">
                  <c:v>44252</c:v>
                </c:pt>
                <c:pt idx="19">
                  <c:v>44253</c:v>
                </c:pt>
                <c:pt idx="20">
                  <c:v>44256</c:v>
                </c:pt>
                <c:pt idx="21">
                  <c:v>44257</c:v>
                </c:pt>
                <c:pt idx="22">
                  <c:v>44258</c:v>
                </c:pt>
                <c:pt idx="23">
                  <c:v>44259</c:v>
                </c:pt>
                <c:pt idx="24">
                  <c:v>44260</c:v>
                </c:pt>
                <c:pt idx="25">
                  <c:v>44263</c:v>
                </c:pt>
                <c:pt idx="26">
                  <c:v>44264</c:v>
                </c:pt>
                <c:pt idx="27">
                  <c:v>44265</c:v>
                </c:pt>
                <c:pt idx="28">
                  <c:v>44267</c:v>
                </c:pt>
                <c:pt idx="29">
                  <c:v>44270</c:v>
                </c:pt>
                <c:pt idx="30">
                  <c:v>44271</c:v>
                </c:pt>
                <c:pt idx="31">
                  <c:v>44272</c:v>
                </c:pt>
                <c:pt idx="32">
                  <c:v>44273</c:v>
                </c:pt>
                <c:pt idx="33">
                  <c:v>44274</c:v>
                </c:pt>
                <c:pt idx="34">
                  <c:v>44277</c:v>
                </c:pt>
                <c:pt idx="35">
                  <c:v>44278</c:v>
                </c:pt>
                <c:pt idx="36">
                  <c:v>44279</c:v>
                </c:pt>
                <c:pt idx="37">
                  <c:v>44280</c:v>
                </c:pt>
                <c:pt idx="38">
                  <c:v>44281</c:v>
                </c:pt>
                <c:pt idx="39">
                  <c:v>44285</c:v>
                </c:pt>
                <c:pt idx="40">
                  <c:v>44286</c:v>
                </c:pt>
                <c:pt idx="41">
                  <c:v>44287</c:v>
                </c:pt>
                <c:pt idx="42">
                  <c:v>44291</c:v>
                </c:pt>
                <c:pt idx="43">
                  <c:v>44292</c:v>
                </c:pt>
                <c:pt idx="44">
                  <c:v>44293</c:v>
                </c:pt>
                <c:pt idx="45">
                  <c:v>44294</c:v>
                </c:pt>
                <c:pt idx="46">
                  <c:v>44295</c:v>
                </c:pt>
                <c:pt idx="47">
                  <c:v>44298</c:v>
                </c:pt>
                <c:pt idx="48">
                  <c:v>44299</c:v>
                </c:pt>
                <c:pt idx="49">
                  <c:v>44301</c:v>
                </c:pt>
                <c:pt idx="50">
                  <c:v>44302</c:v>
                </c:pt>
                <c:pt idx="51">
                  <c:v>44305</c:v>
                </c:pt>
                <c:pt idx="52">
                  <c:v>44306</c:v>
                </c:pt>
                <c:pt idx="53">
                  <c:v>44308</c:v>
                </c:pt>
                <c:pt idx="54">
                  <c:v>44309</c:v>
                </c:pt>
                <c:pt idx="55">
                  <c:v>44312</c:v>
                </c:pt>
                <c:pt idx="56">
                  <c:v>44313</c:v>
                </c:pt>
                <c:pt idx="57">
                  <c:v>44314</c:v>
                </c:pt>
                <c:pt idx="58">
                  <c:v>44315</c:v>
                </c:pt>
                <c:pt idx="59">
                  <c:v>44316</c:v>
                </c:pt>
                <c:pt idx="60">
                  <c:v>44319</c:v>
                </c:pt>
                <c:pt idx="61">
                  <c:v>44320</c:v>
                </c:pt>
                <c:pt idx="62">
                  <c:v>44321</c:v>
                </c:pt>
                <c:pt idx="63">
                  <c:v>44322</c:v>
                </c:pt>
                <c:pt idx="64">
                  <c:v>44323</c:v>
                </c:pt>
                <c:pt idx="65">
                  <c:v>44326</c:v>
                </c:pt>
                <c:pt idx="66">
                  <c:v>44327</c:v>
                </c:pt>
                <c:pt idx="67">
                  <c:v>44328</c:v>
                </c:pt>
                <c:pt idx="68">
                  <c:v>44330</c:v>
                </c:pt>
                <c:pt idx="69">
                  <c:v>44333</c:v>
                </c:pt>
                <c:pt idx="70">
                  <c:v>44334</c:v>
                </c:pt>
                <c:pt idx="71">
                  <c:v>44335</c:v>
                </c:pt>
                <c:pt idx="72">
                  <c:v>44336</c:v>
                </c:pt>
                <c:pt idx="73">
                  <c:v>44337</c:v>
                </c:pt>
                <c:pt idx="74">
                  <c:v>44340</c:v>
                </c:pt>
                <c:pt idx="75">
                  <c:v>44341</c:v>
                </c:pt>
                <c:pt idx="76">
                  <c:v>44342</c:v>
                </c:pt>
                <c:pt idx="77">
                  <c:v>44343</c:v>
                </c:pt>
                <c:pt idx="78">
                  <c:v>44344</c:v>
                </c:pt>
                <c:pt idx="79">
                  <c:v>44347</c:v>
                </c:pt>
                <c:pt idx="80">
                  <c:v>44348</c:v>
                </c:pt>
                <c:pt idx="81">
                  <c:v>44349</c:v>
                </c:pt>
                <c:pt idx="82">
                  <c:v>44350</c:v>
                </c:pt>
                <c:pt idx="83">
                  <c:v>44351</c:v>
                </c:pt>
                <c:pt idx="84">
                  <c:v>44354</c:v>
                </c:pt>
                <c:pt idx="85">
                  <c:v>44355</c:v>
                </c:pt>
                <c:pt idx="86">
                  <c:v>44356</c:v>
                </c:pt>
                <c:pt idx="87">
                  <c:v>44357</c:v>
                </c:pt>
                <c:pt idx="88">
                  <c:v>44358</c:v>
                </c:pt>
                <c:pt idx="89">
                  <c:v>44361</c:v>
                </c:pt>
                <c:pt idx="90">
                  <c:v>44362</c:v>
                </c:pt>
                <c:pt idx="91">
                  <c:v>44363</c:v>
                </c:pt>
                <c:pt idx="92">
                  <c:v>44364</c:v>
                </c:pt>
                <c:pt idx="93">
                  <c:v>44365</c:v>
                </c:pt>
                <c:pt idx="94">
                  <c:v>44368</c:v>
                </c:pt>
                <c:pt idx="95">
                  <c:v>44369</c:v>
                </c:pt>
                <c:pt idx="96">
                  <c:v>44370</c:v>
                </c:pt>
                <c:pt idx="97">
                  <c:v>44371</c:v>
                </c:pt>
                <c:pt idx="98">
                  <c:v>44372</c:v>
                </c:pt>
                <c:pt idx="99">
                  <c:v>44375</c:v>
                </c:pt>
                <c:pt idx="100">
                  <c:v>44376</c:v>
                </c:pt>
                <c:pt idx="101">
                  <c:v>44377</c:v>
                </c:pt>
                <c:pt idx="102">
                  <c:v>44378</c:v>
                </c:pt>
                <c:pt idx="103">
                  <c:v>44379</c:v>
                </c:pt>
                <c:pt idx="104">
                  <c:v>44382</c:v>
                </c:pt>
                <c:pt idx="105">
                  <c:v>44383</c:v>
                </c:pt>
                <c:pt idx="106">
                  <c:v>44384</c:v>
                </c:pt>
                <c:pt idx="107">
                  <c:v>44385</c:v>
                </c:pt>
                <c:pt idx="108">
                  <c:v>44386</c:v>
                </c:pt>
                <c:pt idx="109">
                  <c:v>44389</c:v>
                </c:pt>
                <c:pt idx="110">
                  <c:v>44390</c:v>
                </c:pt>
                <c:pt idx="111">
                  <c:v>44391</c:v>
                </c:pt>
                <c:pt idx="112">
                  <c:v>44392</c:v>
                </c:pt>
                <c:pt idx="113">
                  <c:v>44393</c:v>
                </c:pt>
                <c:pt idx="114">
                  <c:v>44396</c:v>
                </c:pt>
                <c:pt idx="115">
                  <c:v>44397</c:v>
                </c:pt>
                <c:pt idx="116">
                  <c:v>44399</c:v>
                </c:pt>
                <c:pt idx="117">
                  <c:v>44400</c:v>
                </c:pt>
                <c:pt idx="118">
                  <c:v>44403</c:v>
                </c:pt>
                <c:pt idx="119">
                  <c:v>44404</c:v>
                </c:pt>
                <c:pt idx="120">
                  <c:v>44405</c:v>
                </c:pt>
                <c:pt idx="121">
                  <c:v>44406</c:v>
                </c:pt>
                <c:pt idx="122">
                  <c:v>44407</c:v>
                </c:pt>
                <c:pt idx="123">
                  <c:v>44410</c:v>
                </c:pt>
                <c:pt idx="124">
                  <c:v>44411</c:v>
                </c:pt>
                <c:pt idx="125">
                  <c:v>44412</c:v>
                </c:pt>
                <c:pt idx="126">
                  <c:v>44413</c:v>
                </c:pt>
                <c:pt idx="127">
                  <c:v>44414</c:v>
                </c:pt>
                <c:pt idx="128">
                  <c:v>44417</c:v>
                </c:pt>
                <c:pt idx="129">
                  <c:v>44418</c:v>
                </c:pt>
                <c:pt idx="130">
                  <c:v>44419</c:v>
                </c:pt>
                <c:pt idx="131">
                  <c:v>44420</c:v>
                </c:pt>
                <c:pt idx="132">
                  <c:v>44421</c:v>
                </c:pt>
                <c:pt idx="133">
                  <c:v>44424</c:v>
                </c:pt>
                <c:pt idx="134">
                  <c:v>44425</c:v>
                </c:pt>
                <c:pt idx="135">
                  <c:v>44426</c:v>
                </c:pt>
                <c:pt idx="136">
                  <c:v>44428</c:v>
                </c:pt>
                <c:pt idx="137">
                  <c:v>44431</c:v>
                </c:pt>
                <c:pt idx="138">
                  <c:v>44432</c:v>
                </c:pt>
                <c:pt idx="139">
                  <c:v>44433</c:v>
                </c:pt>
                <c:pt idx="140">
                  <c:v>44434</c:v>
                </c:pt>
                <c:pt idx="141">
                  <c:v>44435</c:v>
                </c:pt>
                <c:pt idx="142">
                  <c:v>44438</c:v>
                </c:pt>
                <c:pt idx="143">
                  <c:v>44439</c:v>
                </c:pt>
                <c:pt idx="144">
                  <c:v>44440</c:v>
                </c:pt>
                <c:pt idx="145">
                  <c:v>44441</c:v>
                </c:pt>
                <c:pt idx="146">
                  <c:v>44442</c:v>
                </c:pt>
                <c:pt idx="147">
                  <c:v>44445</c:v>
                </c:pt>
                <c:pt idx="148">
                  <c:v>44446</c:v>
                </c:pt>
                <c:pt idx="149">
                  <c:v>44447</c:v>
                </c:pt>
                <c:pt idx="150">
                  <c:v>44448</c:v>
                </c:pt>
                <c:pt idx="151">
                  <c:v>44452</c:v>
                </c:pt>
                <c:pt idx="152">
                  <c:v>44453</c:v>
                </c:pt>
                <c:pt idx="153">
                  <c:v>44454</c:v>
                </c:pt>
                <c:pt idx="154">
                  <c:v>44455</c:v>
                </c:pt>
                <c:pt idx="155">
                  <c:v>44456</c:v>
                </c:pt>
                <c:pt idx="156">
                  <c:v>44459</c:v>
                </c:pt>
                <c:pt idx="157">
                  <c:v>44460</c:v>
                </c:pt>
                <c:pt idx="158">
                  <c:v>44461</c:v>
                </c:pt>
                <c:pt idx="159">
                  <c:v>44462</c:v>
                </c:pt>
                <c:pt idx="160">
                  <c:v>44463</c:v>
                </c:pt>
                <c:pt idx="161">
                  <c:v>44466</c:v>
                </c:pt>
                <c:pt idx="162">
                  <c:v>44467</c:v>
                </c:pt>
                <c:pt idx="163">
                  <c:v>44468</c:v>
                </c:pt>
                <c:pt idx="164">
                  <c:v>44469</c:v>
                </c:pt>
                <c:pt idx="165">
                  <c:v>44470</c:v>
                </c:pt>
                <c:pt idx="166">
                  <c:v>44473</c:v>
                </c:pt>
                <c:pt idx="167">
                  <c:v>44474</c:v>
                </c:pt>
                <c:pt idx="168">
                  <c:v>44475</c:v>
                </c:pt>
                <c:pt idx="169">
                  <c:v>44476</c:v>
                </c:pt>
                <c:pt idx="170">
                  <c:v>44477</c:v>
                </c:pt>
                <c:pt idx="171">
                  <c:v>44480</c:v>
                </c:pt>
                <c:pt idx="172">
                  <c:v>44481</c:v>
                </c:pt>
                <c:pt idx="173">
                  <c:v>44482</c:v>
                </c:pt>
                <c:pt idx="174">
                  <c:v>44483</c:v>
                </c:pt>
                <c:pt idx="175">
                  <c:v>44487</c:v>
                </c:pt>
                <c:pt idx="176">
                  <c:v>44488</c:v>
                </c:pt>
                <c:pt idx="177">
                  <c:v>44489</c:v>
                </c:pt>
                <c:pt idx="178">
                  <c:v>44490</c:v>
                </c:pt>
                <c:pt idx="179">
                  <c:v>44491</c:v>
                </c:pt>
                <c:pt idx="180">
                  <c:v>44494</c:v>
                </c:pt>
                <c:pt idx="181">
                  <c:v>44495</c:v>
                </c:pt>
                <c:pt idx="182">
                  <c:v>44496</c:v>
                </c:pt>
                <c:pt idx="183">
                  <c:v>44497</c:v>
                </c:pt>
                <c:pt idx="184">
                  <c:v>44498</c:v>
                </c:pt>
                <c:pt idx="185">
                  <c:v>44501</c:v>
                </c:pt>
                <c:pt idx="186">
                  <c:v>44502</c:v>
                </c:pt>
                <c:pt idx="187">
                  <c:v>44503</c:v>
                </c:pt>
                <c:pt idx="188">
                  <c:v>44504</c:v>
                </c:pt>
                <c:pt idx="189">
                  <c:v>44508</c:v>
                </c:pt>
                <c:pt idx="190">
                  <c:v>44509</c:v>
                </c:pt>
                <c:pt idx="191">
                  <c:v>44510</c:v>
                </c:pt>
                <c:pt idx="192">
                  <c:v>44511</c:v>
                </c:pt>
                <c:pt idx="193">
                  <c:v>44512</c:v>
                </c:pt>
                <c:pt idx="194">
                  <c:v>44515</c:v>
                </c:pt>
                <c:pt idx="195">
                  <c:v>44516</c:v>
                </c:pt>
                <c:pt idx="196">
                  <c:v>44517</c:v>
                </c:pt>
                <c:pt idx="197">
                  <c:v>44518</c:v>
                </c:pt>
                <c:pt idx="198">
                  <c:v>44522</c:v>
                </c:pt>
                <c:pt idx="199">
                  <c:v>44523</c:v>
                </c:pt>
                <c:pt idx="200">
                  <c:v>44524</c:v>
                </c:pt>
                <c:pt idx="201">
                  <c:v>44525</c:v>
                </c:pt>
                <c:pt idx="202">
                  <c:v>44526</c:v>
                </c:pt>
                <c:pt idx="203">
                  <c:v>44529</c:v>
                </c:pt>
                <c:pt idx="204">
                  <c:v>44530</c:v>
                </c:pt>
                <c:pt idx="205">
                  <c:v>44531</c:v>
                </c:pt>
                <c:pt idx="206">
                  <c:v>44532</c:v>
                </c:pt>
                <c:pt idx="207">
                  <c:v>44533</c:v>
                </c:pt>
                <c:pt idx="208">
                  <c:v>44536</c:v>
                </c:pt>
                <c:pt idx="209">
                  <c:v>44537</c:v>
                </c:pt>
                <c:pt idx="210">
                  <c:v>44538</c:v>
                </c:pt>
                <c:pt idx="211">
                  <c:v>44539</c:v>
                </c:pt>
                <c:pt idx="212">
                  <c:v>44540</c:v>
                </c:pt>
                <c:pt idx="213">
                  <c:v>44543</c:v>
                </c:pt>
                <c:pt idx="214">
                  <c:v>44544</c:v>
                </c:pt>
                <c:pt idx="215">
                  <c:v>44545</c:v>
                </c:pt>
                <c:pt idx="216">
                  <c:v>44546</c:v>
                </c:pt>
                <c:pt idx="217">
                  <c:v>44547</c:v>
                </c:pt>
                <c:pt idx="218">
                  <c:v>44550</c:v>
                </c:pt>
                <c:pt idx="219">
                  <c:v>44551</c:v>
                </c:pt>
                <c:pt idx="220">
                  <c:v>44552</c:v>
                </c:pt>
                <c:pt idx="221">
                  <c:v>44553</c:v>
                </c:pt>
                <c:pt idx="222">
                  <c:v>44554</c:v>
                </c:pt>
                <c:pt idx="223">
                  <c:v>44557</c:v>
                </c:pt>
                <c:pt idx="224">
                  <c:v>44558</c:v>
                </c:pt>
                <c:pt idx="225">
                  <c:v>44559</c:v>
                </c:pt>
                <c:pt idx="226">
                  <c:v>44560</c:v>
                </c:pt>
                <c:pt idx="227">
                  <c:v>44561</c:v>
                </c:pt>
                <c:pt idx="228">
                  <c:v>44564</c:v>
                </c:pt>
                <c:pt idx="229">
                  <c:v>44565</c:v>
                </c:pt>
                <c:pt idx="230">
                  <c:v>44566</c:v>
                </c:pt>
                <c:pt idx="231">
                  <c:v>44567</c:v>
                </c:pt>
                <c:pt idx="232">
                  <c:v>44568</c:v>
                </c:pt>
                <c:pt idx="233">
                  <c:v>44571</c:v>
                </c:pt>
                <c:pt idx="234">
                  <c:v>44572</c:v>
                </c:pt>
                <c:pt idx="235">
                  <c:v>44573</c:v>
                </c:pt>
                <c:pt idx="236">
                  <c:v>44574</c:v>
                </c:pt>
                <c:pt idx="237">
                  <c:v>44575</c:v>
                </c:pt>
                <c:pt idx="238">
                  <c:v>44578</c:v>
                </c:pt>
                <c:pt idx="239">
                  <c:v>44579</c:v>
                </c:pt>
                <c:pt idx="240">
                  <c:v>44580</c:v>
                </c:pt>
                <c:pt idx="241">
                  <c:v>44581</c:v>
                </c:pt>
                <c:pt idx="242">
                  <c:v>44582</c:v>
                </c:pt>
                <c:pt idx="243">
                  <c:v>44585</c:v>
                </c:pt>
                <c:pt idx="244">
                  <c:v>44586</c:v>
                </c:pt>
                <c:pt idx="245">
                  <c:v>44588</c:v>
                </c:pt>
                <c:pt idx="246">
                  <c:v>44589</c:v>
                </c:pt>
                <c:pt idx="247">
                  <c:v>44592</c:v>
                </c:pt>
                <c:pt idx="248">
                  <c:v>44593</c:v>
                </c:pt>
                <c:pt idx="249">
                  <c:v>44594</c:v>
                </c:pt>
                <c:pt idx="250">
                  <c:v>44595</c:v>
                </c:pt>
                <c:pt idx="251">
                  <c:v>44596</c:v>
                </c:pt>
                <c:pt idx="252">
                  <c:v>44599</c:v>
                </c:pt>
                <c:pt idx="253">
                  <c:v>44600</c:v>
                </c:pt>
                <c:pt idx="254">
                  <c:v>44601</c:v>
                </c:pt>
                <c:pt idx="255">
                  <c:v>44602</c:v>
                </c:pt>
                <c:pt idx="256">
                  <c:v>44603</c:v>
                </c:pt>
                <c:pt idx="257">
                  <c:v>44606</c:v>
                </c:pt>
                <c:pt idx="258">
                  <c:v>44607</c:v>
                </c:pt>
                <c:pt idx="259">
                  <c:v>44608</c:v>
                </c:pt>
                <c:pt idx="260">
                  <c:v>44609</c:v>
                </c:pt>
                <c:pt idx="261">
                  <c:v>44610</c:v>
                </c:pt>
                <c:pt idx="262">
                  <c:v>44613</c:v>
                </c:pt>
                <c:pt idx="263">
                  <c:v>44614</c:v>
                </c:pt>
                <c:pt idx="264">
                  <c:v>44615</c:v>
                </c:pt>
                <c:pt idx="265">
                  <c:v>44616</c:v>
                </c:pt>
                <c:pt idx="266">
                  <c:v>44617</c:v>
                </c:pt>
                <c:pt idx="267">
                  <c:v>44620</c:v>
                </c:pt>
                <c:pt idx="268">
                  <c:v>44622</c:v>
                </c:pt>
                <c:pt idx="269">
                  <c:v>44623</c:v>
                </c:pt>
                <c:pt idx="270">
                  <c:v>44624</c:v>
                </c:pt>
                <c:pt idx="271">
                  <c:v>44627</c:v>
                </c:pt>
                <c:pt idx="272">
                  <c:v>44628</c:v>
                </c:pt>
                <c:pt idx="273">
                  <c:v>44629</c:v>
                </c:pt>
                <c:pt idx="274">
                  <c:v>44630</c:v>
                </c:pt>
                <c:pt idx="275">
                  <c:v>44631</c:v>
                </c:pt>
                <c:pt idx="276">
                  <c:v>44634</c:v>
                </c:pt>
                <c:pt idx="277">
                  <c:v>44635</c:v>
                </c:pt>
                <c:pt idx="278">
                  <c:v>44636</c:v>
                </c:pt>
                <c:pt idx="279">
                  <c:v>44637</c:v>
                </c:pt>
                <c:pt idx="280">
                  <c:v>44641</c:v>
                </c:pt>
                <c:pt idx="281">
                  <c:v>44642</c:v>
                </c:pt>
                <c:pt idx="282">
                  <c:v>44643</c:v>
                </c:pt>
                <c:pt idx="283">
                  <c:v>44644</c:v>
                </c:pt>
                <c:pt idx="284">
                  <c:v>44645</c:v>
                </c:pt>
                <c:pt idx="285">
                  <c:v>44648</c:v>
                </c:pt>
                <c:pt idx="286">
                  <c:v>44649</c:v>
                </c:pt>
                <c:pt idx="287">
                  <c:v>44650</c:v>
                </c:pt>
                <c:pt idx="288">
                  <c:v>44651</c:v>
                </c:pt>
                <c:pt idx="289">
                  <c:v>44652</c:v>
                </c:pt>
                <c:pt idx="290">
                  <c:v>44655</c:v>
                </c:pt>
                <c:pt idx="291">
                  <c:v>44656</c:v>
                </c:pt>
                <c:pt idx="292">
                  <c:v>44657</c:v>
                </c:pt>
                <c:pt idx="293">
                  <c:v>44658</c:v>
                </c:pt>
                <c:pt idx="294">
                  <c:v>44659</c:v>
                </c:pt>
                <c:pt idx="295">
                  <c:v>44662</c:v>
                </c:pt>
                <c:pt idx="296">
                  <c:v>44663</c:v>
                </c:pt>
                <c:pt idx="297">
                  <c:v>44664</c:v>
                </c:pt>
                <c:pt idx="298">
                  <c:v>44669</c:v>
                </c:pt>
                <c:pt idx="299">
                  <c:v>44670</c:v>
                </c:pt>
                <c:pt idx="300">
                  <c:v>44671</c:v>
                </c:pt>
                <c:pt idx="301">
                  <c:v>44672</c:v>
                </c:pt>
                <c:pt idx="302">
                  <c:v>44673</c:v>
                </c:pt>
                <c:pt idx="303">
                  <c:v>44676</c:v>
                </c:pt>
                <c:pt idx="304">
                  <c:v>44677</c:v>
                </c:pt>
                <c:pt idx="305">
                  <c:v>44678</c:v>
                </c:pt>
                <c:pt idx="306">
                  <c:v>44679</c:v>
                </c:pt>
                <c:pt idx="307">
                  <c:v>44680</c:v>
                </c:pt>
                <c:pt idx="308">
                  <c:v>44683</c:v>
                </c:pt>
                <c:pt idx="309">
                  <c:v>44685</c:v>
                </c:pt>
                <c:pt idx="310">
                  <c:v>44686</c:v>
                </c:pt>
                <c:pt idx="311">
                  <c:v>44687</c:v>
                </c:pt>
                <c:pt idx="312">
                  <c:v>44690</c:v>
                </c:pt>
                <c:pt idx="313">
                  <c:v>44691</c:v>
                </c:pt>
                <c:pt idx="314">
                  <c:v>44692</c:v>
                </c:pt>
                <c:pt idx="315">
                  <c:v>44693</c:v>
                </c:pt>
                <c:pt idx="316">
                  <c:v>44694</c:v>
                </c:pt>
                <c:pt idx="317">
                  <c:v>44697</c:v>
                </c:pt>
                <c:pt idx="318">
                  <c:v>44698</c:v>
                </c:pt>
                <c:pt idx="319">
                  <c:v>44699</c:v>
                </c:pt>
                <c:pt idx="320">
                  <c:v>44700</c:v>
                </c:pt>
                <c:pt idx="321">
                  <c:v>44701</c:v>
                </c:pt>
                <c:pt idx="322">
                  <c:v>44704</c:v>
                </c:pt>
                <c:pt idx="323">
                  <c:v>44705</c:v>
                </c:pt>
                <c:pt idx="324">
                  <c:v>44706</c:v>
                </c:pt>
                <c:pt idx="325">
                  <c:v>44707</c:v>
                </c:pt>
                <c:pt idx="326">
                  <c:v>44708</c:v>
                </c:pt>
                <c:pt idx="327">
                  <c:v>44711</c:v>
                </c:pt>
                <c:pt idx="328">
                  <c:v>44712</c:v>
                </c:pt>
                <c:pt idx="329">
                  <c:v>44713</c:v>
                </c:pt>
                <c:pt idx="330">
                  <c:v>44714</c:v>
                </c:pt>
                <c:pt idx="331">
                  <c:v>44715</c:v>
                </c:pt>
                <c:pt idx="332">
                  <c:v>44718</c:v>
                </c:pt>
                <c:pt idx="333">
                  <c:v>44719</c:v>
                </c:pt>
                <c:pt idx="334">
                  <c:v>44720</c:v>
                </c:pt>
                <c:pt idx="335">
                  <c:v>44721</c:v>
                </c:pt>
                <c:pt idx="336">
                  <c:v>44722</c:v>
                </c:pt>
                <c:pt idx="337">
                  <c:v>44725</c:v>
                </c:pt>
                <c:pt idx="338">
                  <c:v>44726</c:v>
                </c:pt>
                <c:pt idx="339">
                  <c:v>44727</c:v>
                </c:pt>
                <c:pt idx="340">
                  <c:v>44728</c:v>
                </c:pt>
                <c:pt idx="341">
                  <c:v>44729</c:v>
                </c:pt>
                <c:pt idx="342">
                  <c:v>44732</c:v>
                </c:pt>
                <c:pt idx="343">
                  <c:v>44733</c:v>
                </c:pt>
                <c:pt idx="344">
                  <c:v>44734</c:v>
                </c:pt>
                <c:pt idx="345">
                  <c:v>44735</c:v>
                </c:pt>
                <c:pt idx="346">
                  <c:v>44736</c:v>
                </c:pt>
                <c:pt idx="347">
                  <c:v>44739</c:v>
                </c:pt>
                <c:pt idx="348">
                  <c:v>44740</c:v>
                </c:pt>
                <c:pt idx="349">
                  <c:v>44741</c:v>
                </c:pt>
                <c:pt idx="350">
                  <c:v>44742</c:v>
                </c:pt>
                <c:pt idx="351">
                  <c:v>44743</c:v>
                </c:pt>
                <c:pt idx="352">
                  <c:v>44746</c:v>
                </c:pt>
                <c:pt idx="353">
                  <c:v>44747</c:v>
                </c:pt>
                <c:pt idx="354">
                  <c:v>44748</c:v>
                </c:pt>
                <c:pt idx="355">
                  <c:v>44749</c:v>
                </c:pt>
                <c:pt idx="356">
                  <c:v>44750</c:v>
                </c:pt>
                <c:pt idx="357">
                  <c:v>44753</c:v>
                </c:pt>
                <c:pt idx="358">
                  <c:v>44754</c:v>
                </c:pt>
                <c:pt idx="359">
                  <c:v>44755</c:v>
                </c:pt>
                <c:pt idx="360">
                  <c:v>44756</c:v>
                </c:pt>
                <c:pt idx="361">
                  <c:v>44757</c:v>
                </c:pt>
                <c:pt idx="362">
                  <c:v>44760</c:v>
                </c:pt>
                <c:pt idx="363">
                  <c:v>44761</c:v>
                </c:pt>
                <c:pt idx="364">
                  <c:v>44762</c:v>
                </c:pt>
                <c:pt idx="365">
                  <c:v>44763</c:v>
                </c:pt>
                <c:pt idx="366">
                  <c:v>44764</c:v>
                </c:pt>
                <c:pt idx="367">
                  <c:v>44767</c:v>
                </c:pt>
                <c:pt idx="368">
                  <c:v>44768</c:v>
                </c:pt>
                <c:pt idx="369">
                  <c:v>44769</c:v>
                </c:pt>
                <c:pt idx="370">
                  <c:v>44770</c:v>
                </c:pt>
                <c:pt idx="371">
                  <c:v>44771</c:v>
                </c:pt>
                <c:pt idx="372">
                  <c:v>44774</c:v>
                </c:pt>
                <c:pt idx="373">
                  <c:v>44775</c:v>
                </c:pt>
                <c:pt idx="374">
                  <c:v>44776</c:v>
                </c:pt>
                <c:pt idx="375">
                  <c:v>44777</c:v>
                </c:pt>
                <c:pt idx="376">
                  <c:v>44778</c:v>
                </c:pt>
                <c:pt idx="377">
                  <c:v>44781</c:v>
                </c:pt>
                <c:pt idx="378">
                  <c:v>44783</c:v>
                </c:pt>
                <c:pt idx="379">
                  <c:v>44784</c:v>
                </c:pt>
                <c:pt idx="380">
                  <c:v>44785</c:v>
                </c:pt>
                <c:pt idx="381">
                  <c:v>44789</c:v>
                </c:pt>
                <c:pt idx="382">
                  <c:v>44790</c:v>
                </c:pt>
                <c:pt idx="383">
                  <c:v>44791</c:v>
                </c:pt>
                <c:pt idx="384">
                  <c:v>44792</c:v>
                </c:pt>
                <c:pt idx="385">
                  <c:v>44795</c:v>
                </c:pt>
                <c:pt idx="386">
                  <c:v>44796</c:v>
                </c:pt>
                <c:pt idx="387">
                  <c:v>44797</c:v>
                </c:pt>
                <c:pt idx="388">
                  <c:v>44798</c:v>
                </c:pt>
                <c:pt idx="389">
                  <c:v>44799</c:v>
                </c:pt>
                <c:pt idx="390">
                  <c:v>44802</c:v>
                </c:pt>
                <c:pt idx="391">
                  <c:v>44803</c:v>
                </c:pt>
                <c:pt idx="392">
                  <c:v>44805</c:v>
                </c:pt>
                <c:pt idx="393">
                  <c:v>44806</c:v>
                </c:pt>
                <c:pt idx="394">
                  <c:v>44809</c:v>
                </c:pt>
                <c:pt idx="395">
                  <c:v>44810</c:v>
                </c:pt>
                <c:pt idx="396">
                  <c:v>44811</c:v>
                </c:pt>
                <c:pt idx="397">
                  <c:v>44812</c:v>
                </c:pt>
                <c:pt idx="398">
                  <c:v>44813</c:v>
                </c:pt>
                <c:pt idx="399">
                  <c:v>44816</c:v>
                </c:pt>
                <c:pt idx="400">
                  <c:v>44817</c:v>
                </c:pt>
                <c:pt idx="401">
                  <c:v>44818</c:v>
                </c:pt>
                <c:pt idx="402">
                  <c:v>44819</c:v>
                </c:pt>
                <c:pt idx="403">
                  <c:v>44820</c:v>
                </c:pt>
                <c:pt idx="404">
                  <c:v>44823</c:v>
                </c:pt>
                <c:pt idx="405">
                  <c:v>44824</c:v>
                </c:pt>
                <c:pt idx="406">
                  <c:v>44825</c:v>
                </c:pt>
                <c:pt idx="407">
                  <c:v>44826</c:v>
                </c:pt>
                <c:pt idx="408">
                  <c:v>44827</c:v>
                </c:pt>
                <c:pt idx="409">
                  <c:v>44830</c:v>
                </c:pt>
                <c:pt idx="410">
                  <c:v>44831</c:v>
                </c:pt>
                <c:pt idx="411">
                  <c:v>44832</c:v>
                </c:pt>
                <c:pt idx="412">
                  <c:v>44833</c:v>
                </c:pt>
                <c:pt idx="413">
                  <c:v>44834</c:v>
                </c:pt>
                <c:pt idx="414">
                  <c:v>44837</c:v>
                </c:pt>
                <c:pt idx="415">
                  <c:v>44838</c:v>
                </c:pt>
                <c:pt idx="416">
                  <c:v>44840</c:v>
                </c:pt>
                <c:pt idx="417">
                  <c:v>44841</c:v>
                </c:pt>
                <c:pt idx="418">
                  <c:v>44844</c:v>
                </c:pt>
                <c:pt idx="419">
                  <c:v>44845</c:v>
                </c:pt>
                <c:pt idx="420">
                  <c:v>44846</c:v>
                </c:pt>
                <c:pt idx="421">
                  <c:v>44847</c:v>
                </c:pt>
                <c:pt idx="422">
                  <c:v>44848</c:v>
                </c:pt>
                <c:pt idx="423">
                  <c:v>44851</c:v>
                </c:pt>
                <c:pt idx="424">
                  <c:v>44852</c:v>
                </c:pt>
                <c:pt idx="425">
                  <c:v>44853</c:v>
                </c:pt>
                <c:pt idx="426">
                  <c:v>44854</c:v>
                </c:pt>
                <c:pt idx="427">
                  <c:v>44855</c:v>
                </c:pt>
                <c:pt idx="428">
                  <c:v>44859</c:v>
                </c:pt>
                <c:pt idx="429">
                  <c:v>44861</c:v>
                </c:pt>
                <c:pt idx="430">
                  <c:v>44862</c:v>
                </c:pt>
                <c:pt idx="431">
                  <c:v>44865</c:v>
                </c:pt>
                <c:pt idx="432">
                  <c:v>44866</c:v>
                </c:pt>
                <c:pt idx="433">
                  <c:v>44867</c:v>
                </c:pt>
                <c:pt idx="434">
                  <c:v>44868</c:v>
                </c:pt>
                <c:pt idx="435">
                  <c:v>44869</c:v>
                </c:pt>
                <c:pt idx="436">
                  <c:v>44872</c:v>
                </c:pt>
                <c:pt idx="437">
                  <c:v>44874</c:v>
                </c:pt>
                <c:pt idx="438">
                  <c:v>44875</c:v>
                </c:pt>
                <c:pt idx="439">
                  <c:v>44876</c:v>
                </c:pt>
                <c:pt idx="440">
                  <c:v>44879</c:v>
                </c:pt>
                <c:pt idx="441">
                  <c:v>44880</c:v>
                </c:pt>
                <c:pt idx="442">
                  <c:v>44881</c:v>
                </c:pt>
                <c:pt idx="443">
                  <c:v>44882</c:v>
                </c:pt>
                <c:pt idx="444">
                  <c:v>44883</c:v>
                </c:pt>
                <c:pt idx="445">
                  <c:v>44886</c:v>
                </c:pt>
                <c:pt idx="446">
                  <c:v>44887</c:v>
                </c:pt>
                <c:pt idx="447">
                  <c:v>44888</c:v>
                </c:pt>
                <c:pt idx="448">
                  <c:v>44889</c:v>
                </c:pt>
                <c:pt idx="449">
                  <c:v>44890</c:v>
                </c:pt>
                <c:pt idx="450">
                  <c:v>44893</c:v>
                </c:pt>
                <c:pt idx="451">
                  <c:v>44894</c:v>
                </c:pt>
                <c:pt idx="452">
                  <c:v>44895</c:v>
                </c:pt>
                <c:pt idx="453">
                  <c:v>44896</c:v>
                </c:pt>
                <c:pt idx="454">
                  <c:v>44897</c:v>
                </c:pt>
                <c:pt idx="455">
                  <c:v>44900</c:v>
                </c:pt>
                <c:pt idx="456">
                  <c:v>44901</c:v>
                </c:pt>
                <c:pt idx="457">
                  <c:v>44902</c:v>
                </c:pt>
                <c:pt idx="458">
                  <c:v>44903</c:v>
                </c:pt>
                <c:pt idx="459">
                  <c:v>44904</c:v>
                </c:pt>
                <c:pt idx="460">
                  <c:v>44907</c:v>
                </c:pt>
                <c:pt idx="461">
                  <c:v>44908</c:v>
                </c:pt>
                <c:pt idx="462">
                  <c:v>44909</c:v>
                </c:pt>
                <c:pt idx="463">
                  <c:v>44910</c:v>
                </c:pt>
                <c:pt idx="464">
                  <c:v>44911</c:v>
                </c:pt>
                <c:pt idx="465">
                  <c:v>44914</c:v>
                </c:pt>
                <c:pt idx="466">
                  <c:v>44915</c:v>
                </c:pt>
                <c:pt idx="467">
                  <c:v>44916</c:v>
                </c:pt>
                <c:pt idx="468">
                  <c:v>44917</c:v>
                </c:pt>
                <c:pt idx="469">
                  <c:v>44918</c:v>
                </c:pt>
                <c:pt idx="470">
                  <c:v>44921</c:v>
                </c:pt>
                <c:pt idx="471">
                  <c:v>44922</c:v>
                </c:pt>
                <c:pt idx="472">
                  <c:v>44923</c:v>
                </c:pt>
                <c:pt idx="473">
                  <c:v>44924</c:v>
                </c:pt>
                <c:pt idx="474">
                  <c:v>44925</c:v>
                </c:pt>
                <c:pt idx="475">
                  <c:v>44928</c:v>
                </c:pt>
                <c:pt idx="476">
                  <c:v>44929</c:v>
                </c:pt>
                <c:pt idx="477">
                  <c:v>44930</c:v>
                </c:pt>
                <c:pt idx="478">
                  <c:v>44931</c:v>
                </c:pt>
                <c:pt idx="479">
                  <c:v>44932</c:v>
                </c:pt>
                <c:pt idx="480">
                  <c:v>44935</c:v>
                </c:pt>
                <c:pt idx="481">
                  <c:v>44936</c:v>
                </c:pt>
                <c:pt idx="482">
                  <c:v>44937</c:v>
                </c:pt>
                <c:pt idx="483">
                  <c:v>44938</c:v>
                </c:pt>
                <c:pt idx="484">
                  <c:v>44939</c:v>
                </c:pt>
                <c:pt idx="485">
                  <c:v>44942</c:v>
                </c:pt>
                <c:pt idx="486">
                  <c:v>44943</c:v>
                </c:pt>
                <c:pt idx="487">
                  <c:v>44944</c:v>
                </c:pt>
                <c:pt idx="488">
                  <c:v>44945</c:v>
                </c:pt>
                <c:pt idx="489">
                  <c:v>44946</c:v>
                </c:pt>
                <c:pt idx="490">
                  <c:v>44949</c:v>
                </c:pt>
                <c:pt idx="491">
                  <c:v>44950</c:v>
                </c:pt>
                <c:pt idx="492">
                  <c:v>44951</c:v>
                </c:pt>
                <c:pt idx="493">
                  <c:v>44953</c:v>
                </c:pt>
                <c:pt idx="494">
                  <c:v>44956</c:v>
                </c:pt>
                <c:pt idx="495">
                  <c:v>44957</c:v>
                </c:pt>
                <c:pt idx="496">
                  <c:v>44958</c:v>
                </c:pt>
                <c:pt idx="497">
                  <c:v>44959</c:v>
                </c:pt>
                <c:pt idx="498">
                  <c:v>44960</c:v>
                </c:pt>
                <c:pt idx="499">
                  <c:v>44963</c:v>
                </c:pt>
                <c:pt idx="500">
                  <c:v>44964</c:v>
                </c:pt>
                <c:pt idx="501">
                  <c:v>44965</c:v>
                </c:pt>
                <c:pt idx="502">
                  <c:v>44966</c:v>
                </c:pt>
                <c:pt idx="503">
                  <c:v>44967</c:v>
                </c:pt>
                <c:pt idx="504">
                  <c:v>44970</c:v>
                </c:pt>
                <c:pt idx="505">
                  <c:v>44971</c:v>
                </c:pt>
                <c:pt idx="506">
                  <c:v>44972</c:v>
                </c:pt>
                <c:pt idx="507">
                  <c:v>44973</c:v>
                </c:pt>
                <c:pt idx="508">
                  <c:v>44974</c:v>
                </c:pt>
                <c:pt idx="509">
                  <c:v>44977</c:v>
                </c:pt>
                <c:pt idx="510">
                  <c:v>44978</c:v>
                </c:pt>
                <c:pt idx="511">
                  <c:v>44979</c:v>
                </c:pt>
                <c:pt idx="512">
                  <c:v>44980</c:v>
                </c:pt>
                <c:pt idx="513">
                  <c:v>44981</c:v>
                </c:pt>
                <c:pt idx="514">
                  <c:v>44984</c:v>
                </c:pt>
                <c:pt idx="515">
                  <c:v>44985</c:v>
                </c:pt>
                <c:pt idx="516">
                  <c:v>44986</c:v>
                </c:pt>
                <c:pt idx="517">
                  <c:v>44987</c:v>
                </c:pt>
                <c:pt idx="518">
                  <c:v>44988</c:v>
                </c:pt>
                <c:pt idx="519">
                  <c:v>44991</c:v>
                </c:pt>
                <c:pt idx="520">
                  <c:v>44993</c:v>
                </c:pt>
                <c:pt idx="521">
                  <c:v>44994</c:v>
                </c:pt>
                <c:pt idx="522">
                  <c:v>44995</c:v>
                </c:pt>
                <c:pt idx="523">
                  <c:v>44998</c:v>
                </c:pt>
                <c:pt idx="524">
                  <c:v>44999</c:v>
                </c:pt>
                <c:pt idx="525">
                  <c:v>45000</c:v>
                </c:pt>
                <c:pt idx="526">
                  <c:v>45001</c:v>
                </c:pt>
                <c:pt idx="527">
                  <c:v>45002</c:v>
                </c:pt>
                <c:pt idx="528">
                  <c:v>45005</c:v>
                </c:pt>
                <c:pt idx="529">
                  <c:v>45006</c:v>
                </c:pt>
                <c:pt idx="530">
                  <c:v>45007</c:v>
                </c:pt>
                <c:pt idx="531">
                  <c:v>45008</c:v>
                </c:pt>
                <c:pt idx="532">
                  <c:v>45009</c:v>
                </c:pt>
                <c:pt idx="533">
                  <c:v>45012</c:v>
                </c:pt>
                <c:pt idx="534">
                  <c:v>45013</c:v>
                </c:pt>
                <c:pt idx="535">
                  <c:v>45014</c:v>
                </c:pt>
                <c:pt idx="536">
                  <c:v>45016</c:v>
                </c:pt>
                <c:pt idx="537">
                  <c:v>45019</c:v>
                </c:pt>
                <c:pt idx="538">
                  <c:v>45021</c:v>
                </c:pt>
                <c:pt idx="539">
                  <c:v>45022</c:v>
                </c:pt>
                <c:pt idx="540">
                  <c:v>45026</c:v>
                </c:pt>
                <c:pt idx="541">
                  <c:v>45027</c:v>
                </c:pt>
                <c:pt idx="542">
                  <c:v>45028</c:v>
                </c:pt>
                <c:pt idx="543">
                  <c:v>45029</c:v>
                </c:pt>
                <c:pt idx="544">
                  <c:v>45033</c:v>
                </c:pt>
                <c:pt idx="545">
                  <c:v>45034</c:v>
                </c:pt>
                <c:pt idx="546">
                  <c:v>45035</c:v>
                </c:pt>
                <c:pt idx="547">
                  <c:v>45036</c:v>
                </c:pt>
                <c:pt idx="548">
                  <c:v>45037</c:v>
                </c:pt>
                <c:pt idx="549">
                  <c:v>45040</c:v>
                </c:pt>
                <c:pt idx="550">
                  <c:v>45041</c:v>
                </c:pt>
                <c:pt idx="551">
                  <c:v>45042</c:v>
                </c:pt>
                <c:pt idx="552">
                  <c:v>45043</c:v>
                </c:pt>
                <c:pt idx="553">
                  <c:v>45044</c:v>
                </c:pt>
                <c:pt idx="554">
                  <c:v>45048</c:v>
                </c:pt>
                <c:pt idx="555">
                  <c:v>45049</c:v>
                </c:pt>
                <c:pt idx="556">
                  <c:v>45050</c:v>
                </c:pt>
                <c:pt idx="557">
                  <c:v>45051</c:v>
                </c:pt>
                <c:pt idx="558">
                  <c:v>45054</c:v>
                </c:pt>
                <c:pt idx="559">
                  <c:v>45055</c:v>
                </c:pt>
                <c:pt idx="560">
                  <c:v>45056</c:v>
                </c:pt>
                <c:pt idx="561">
                  <c:v>45057</c:v>
                </c:pt>
                <c:pt idx="562">
                  <c:v>45058</c:v>
                </c:pt>
                <c:pt idx="563">
                  <c:v>45061</c:v>
                </c:pt>
                <c:pt idx="564">
                  <c:v>45062</c:v>
                </c:pt>
                <c:pt idx="565">
                  <c:v>45063</c:v>
                </c:pt>
                <c:pt idx="566">
                  <c:v>45064</c:v>
                </c:pt>
                <c:pt idx="567">
                  <c:v>45065</c:v>
                </c:pt>
                <c:pt idx="568">
                  <c:v>45068</c:v>
                </c:pt>
                <c:pt idx="569">
                  <c:v>45069</c:v>
                </c:pt>
                <c:pt idx="570">
                  <c:v>45070</c:v>
                </c:pt>
                <c:pt idx="571">
                  <c:v>45071</c:v>
                </c:pt>
                <c:pt idx="572">
                  <c:v>45072</c:v>
                </c:pt>
                <c:pt idx="573">
                  <c:v>45075</c:v>
                </c:pt>
                <c:pt idx="574">
                  <c:v>45076</c:v>
                </c:pt>
                <c:pt idx="575">
                  <c:v>45077</c:v>
                </c:pt>
                <c:pt idx="576">
                  <c:v>45078</c:v>
                </c:pt>
                <c:pt idx="577">
                  <c:v>45079</c:v>
                </c:pt>
                <c:pt idx="578">
                  <c:v>45082</c:v>
                </c:pt>
                <c:pt idx="579">
                  <c:v>45083</c:v>
                </c:pt>
                <c:pt idx="580">
                  <c:v>45084</c:v>
                </c:pt>
                <c:pt idx="581">
                  <c:v>45085</c:v>
                </c:pt>
                <c:pt idx="582">
                  <c:v>45086</c:v>
                </c:pt>
                <c:pt idx="583">
                  <c:v>45089</c:v>
                </c:pt>
                <c:pt idx="584">
                  <c:v>45090</c:v>
                </c:pt>
                <c:pt idx="585">
                  <c:v>45091</c:v>
                </c:pt>
                <c:pt idx="586">
                  <c:v>45092</c:v>
                </c:pt>
                <c:pt idx="587">
                  <c:v>45093</c:v>
                </c:pt>
                <c:pt idx="588">
                  <c:v>45096</c:v>
                </c:pt>
                <c:pt idx="589">
                  <c:v>45097</c:v>
                </c:pt>
                <c:pt idx="590">
                  <c:v>45098</c:v>
                </c:pt>
                <c:pt idx="591">
                  <c:v>45099</c:v>
                </c:pt>
                <c:pt idx="592">
                  <c:v>45100</c:v>
                </c:pt>
                <c:pt idx="593">
                  <c:v>45103</c:v>
                </c:pt>
                <c:pt idx="594">
                  <c:v>45104</c:v>
                </c:pt>
                <c:pt idx="595">
                  <c:v>45105</c:v>
                </c:pt>
                <c:pt idx="596">
                  <c:v>45107</c:v>
                </c:pt>
                <c:pt idx="597">
                  <c:v>45110</c:v>
                </c:pt>
                <c:pt idx="598">
                  <c:v>45111</c:v>
                </c:pt>
                <c:pt idx="599">
                  <c:v>45112</c:v>
                </c:pt>
                <c:pt idx="600">
                  <c:v>45113</c:v>
                </c:pt>
                <c:pt idx="601">
                  <c:v>45114</c:v>
                </c:pt>
                <c:pt idx="602">
                  <c:v>45117</c:v>
                </c:pt>
                <c:pt idx="603">
                  <c:v>45118</c:v>
                </c:pt>
                <c:pt idx="604">
                  <c:v>45119</c:v>
                </c:pt>
                <c:pt idx="605">
                  <c:v>45120</c:v>
                </c:pt>
                <c:pt idx="606">
                  <c:v>45121</c:v>
                </c:pt>
                <c:pt idx="607">
                  <c:v>45124</c:v>
                </c:pt>
                <c:pt idx="608">
                  <c:v>45125</c:v>
                </c:pt>
                <c:pt idx="609">
                  <c:v>45126</c:v>
                </c:pt>
                <c:pt idx="610">
                  <c:v>45127</c:v>
                </c:pt>
                <c:pt idx="611">
                  <c:v>45128</c:v>
                </c:pt>
                <c:pt idx="612">
                  <c:v>45131</c:v>
                </c:pt>
                <c:pt idx="613">
                  <c:v>45132</c:v>
                </c:pt>
                <c:pt idx="614">
                  <c:v>45133</c:v>
                </c:pt>
                <c:pt idx="615">
                  <c:v>45134</c:v>
                </c:pt>
                <c:pt idx="616">
                  <c:v>45135</c:v>
                </c:pt>
                <c:pt idx="617">
                  <c:v>45138</c:v>
                </c:pt>
                <c:pt idx="618">
                  <c:v>45139</c:v>
                </c:pt>
                <c:pt idx="619">
                  <c:v>45140</c:v>
                </c:pt>
                <c:pt idx="620">
                  <c:v>45141</c:v>
                </c:pt>
                <c:pt idx="621">
                  <c:v>45142</c:v>
                </c:pt>
                <c:pt idx="622">
                  <c:v>45145</c:v>
                </c:pt>
                <c:pt idx="623">
                  <c:v>45146</c:v>
                </c:pt>
                <c:pt idx="624">
                  <c:v>45147</c:v>
                </c:pt>
                <c:pt idx="625">
                  <c:v>45148</c:v>
                </c:pt>
                <c:pt idx="626">
                  <c:v>45149</c:v>
                </c:pt>
                <c:pt idx="627">
                  <c:v>45152</c:v>
                </c:pt>
                <c:pt idx="628">
                  <c:v>45154</c:v>
                </c:pt>
                <c:pt idx="629">
                  <c:v>45155</c:v>
                </c:pt>
                <c:pt idx="630">
                  <c:v>45156</c:v>
                </c:pt>
                <c:pt idx="631">
                  <c:v>45159</c:v>
                </c:pt>
                <c:pt idx="632">
                  <c:v>45160</c:v>
                </c:pt>
                <c:pt idx="633">
                  <c:v>45161</c:v>
                </c:pt>
                <c:pt idx="634">
                  <c:v>45162</c:v>
                </c:pt>
                <c:pt idx="635">
                  <c:v>45163</c:v>
                </c:pt>
                <c:pt idx="636">
                  <c:v>45166</c:v>
                </c:pt>
                <c:pt idx="637">
                  <c:v>45167</c:v>
                </c:pt>
                <c:pt idx="638">
                  <c:v>45168</c:v>
                </c:pt>
                <c:pt idx="639">
                  <c:v>45169</c:v>
                </c:pt>
                <c:pt idx="640">
                  <c:v>45170</c:v>
                </c:pt>
                <c:pt idx="641">
                  <c:v>45173</c:v>
                </c:pt>
                <c:pt idx="642">
                  <c:v>45174</c:v>
                </c:pt>
                <c:pt idx="643">
                  <c:v>45175</c:v>
                </c:pt>
                <c:pt idx="644">
                  <c:v>45176</c:v>
                </c:pt>
                <c:pt idx="645">
                  <c:v>45177</c:v>
                </c:pt>
                <c:pt idx="646">
                  <c:v>45180</c:v>
                </c:pt>
                <c:pt idx="647">
                  <c:v>45181</c:v>
                </c:pt>
                <c:pt idx="648">
                  <c:v>45182</c:v>
                </c:pt>
                <c:pt idx="649">
                  <c:v>45183</c:v>
                </c:pt>
                <c:pt idx="650">
                  <c:v>45184</c:v>
                </c:pt>
                <c:pt idx="651">
                  <c:v>45187</c:v>
                </c:pt>
                <c:pt idx="652">
                  <c:v>45189</c:v>
                </c:pt>
                <c:pt idx="653">
                  <c:v>45190</c:v>
                </c:pt>
                <c:pt idx="654">
                  <c:v>45191</c:v>
                </c:pt>
                <c:pt idx="655">
                  <c:v>45194</c:v>
                </c:pt>
                <c:pt idx="656">
                  <c:v>45195</c:v>
                </c:pt>
                <c:pt idx="657">
                  <c:v>45196</c:v>
                </c:pt>
                <c:pt idx="658">
                  <c:v>45197</c:v>
                </c:pt>
                <c:pt idx="659">
                  <c:v>45198</c:v>
                </c:pt>
                <c:pt idx="660">
                  <c:v>45202</c:v>
                </c:pt>
                <c:pt idx="661">
                  <c:v>45203</c:v>
                </c:pt>
                <c:pt idx="662">
                  <c:v>45204</c:v>
                </c:pt>
                <c:pt idx="663">
                  <c:v>45205</c:v>
                </c:pt>
                <c:pt idx="664">
                  <c:v>45208</c:v>
                </c:pt>
                <c:pt idx="665">
                  <c:v>45209</c:v>
                </c:pt>
                <c:pt idx="666">
                  <c:v>45210</c:v>
                </c:pt>
                <c:pt idx="667">
                  <c:v>45211</c:v>
                </c:pt>
                <c:pt idx="668">
                  <c:v>45212</c:v>
                </c:pt>
                <c:pt idx="669">
                  <c:v>45215</c:v>
                </c:pt>
                <c:pt idx="670">
                  <c:v>45216</c:v>
                </c:pt>
                <c:pt idx="671">
                  <c:v>45217</c:v>
                </c:pt>
                <c:pt idx="672">
                  <c:v>45218</c:v>
                </c:pt>
                <c:pt idx="673">
                  <c:v>45219</c:v>
                </c:pt>
                <c:pt idx="674">
                  <c:v>45222</c:v>
                </c:pt>
                <c:pt idx="675">
                  <c:v>45224</c:v>
                </c:pt>
                <c:pt idx="676">
                  <c:v>45225</c:v>
                </c:pt>
                <c:pt idx="677">
                  <c:v>45226</c:v>
                </c:pt>
                <c:pt idx="678">
                  <c:v>45229</c:v>
                </c:pt>
                <c:pt idx="679">
                  <c:v>45230</c:v>
                </c:pt>
                <c:pt idx="680">
                  <c:v>45231</c:v>
                </c:pt>
                <c:pt idx="681">
                  <c:v>45232</c:v>
                </c:pt>
                <c:pt idx="682">
                  <c:v>45233</c:v>
                </c:pt>
                <c:pt idx="683">
                  <c:v>45236</c:v>
                </c:pt>
                <c:pt idx="684">
                  <c:v>45237</c:v>
                </c:pt>
                <c:pt idx="685">
                  <c:v>45238</c:v>
                </c:pt>
                <c:pt idx="686">
                  <c:v>45239</c:v>
                </c:pt>
                <c:pt idx="687">
                  <c:v>45240</c:v>
                </c:pt>
                <c:pt idx="688">
                  <c:v>45243</c:v>
                </c:pt>
                <c:pt idx="689">
                  <c:v>45245</c:v>
                </c:pt>
                <c:pt idx="690">
                  <c:v>45246</c:v>
                </c:pt>
                <c:pt idx="691">
                  <c:v>45247</c:v>
                </c:pt>
                <c:pt idx="692">
                  <c:v>45250</c:v>
                </c:pt>
                <c:pt idx="693">
                  <c:v>45251</c:v>
                </c:pt>
                <c:pt idx="694">
                  <c:v>45252</c:v>
                </c:pt>
                <c:pt idx="695">
                  <c:v>45253</c:v>
                </c:pt>
                <c:pt idx="696">
                  <c:v>45254</c:v>
                </c:pt>
                <c:pt idx="697">
                  <c:v>45258</c:v>
                </c:pt>
                <c:pt idx="698">
                  <c:v>45259</c:v>
                </c:pt>
                <c:pt idx="699">
                  <c:v>45260</c:v>
                </c:pt>
                <c:pt idx="700">
                  <c:v>45261</c:v>
                </c:pt>
                <c:pt idx="701">
                  <c:v>45264</c:v>
                </c:pt>
                <c:pt idx="702">
                  <c:v>45265</c:v>
                </c:pt>
                <c:pt idx="703">
                  <c:v>45266</c:v>
                </c:pt>
                <c:pt idx="704">
                  <c:v>45267</c:v>
                </c:pt>
                <c:pt idx="705">
                  <c:v>45268</c:v>
                </c:pt>
                <c:pt idx="706">
                  <c:v>45271</c:v>
                </c:pt>
                <c:pt idx="707">
                  <c:v>45272</c:v>
                </c:pt>
                <c:pt idx="708">
                  <c:v>45273</c:v>
                </c:pt>
                <c:pt idx="709">
                  <c:v>45274</c:v>
                </c:pt>
                <c:pt idx="710">
                  <c:v>45275</c:v>
                </c:pt>
                <c:pt idx="711">
                  <c:v>45278</c:v>
                </c:pt>
                <c:pt idx="712">
                  <c:v>45279</c:v>
                </c:pt>
                <c:pt idx="713">
                  <c:v>45280</c:v>
                </c:pt>
                <c:pt idx="714">
                  <c:v>45281</c:v>
                </c:pt>
                <c:pt idx="715">
                  <c:v>45282</c:v>
                </c:pt>
                <c:pt idx="716">
                  <c:v>45286</c:v>
                </c:pt>
                <c:pt idx="717">
                  <c:v>45287</c:v>
                </c:pt>
                <c:pt idx="718">
                  <c:v>45288</c:v>
                </c:pt>
                <c:pt idx="719">
                  <c:v>45289</c:v>
                </c:pt>
                <c:pt idx="720">
                  <c:v>45292</c:v>
                </c:pt>
                <c:pt idx="721">
                  <c:v>45293</c:v>
                </c:pt>
                <c:pt idx="722">
                  <c:v>45294</c:v>
                </c:pt>
                <c:pt idx="723">
                  <c:v>45295</c:v>
                </c:pt>
                <c:pt idx="724">
                  <c:v>45296</c:v>
                </c:pt>
                <c:pt idx="725">
                  <c:v>45299</c:v>
                </c:pt>
                <c:pt idx="726">
                  <c:v>45300</c:v>
                </c:pt>
                <c:pt idx="727">
                  <c:v>45301</c:v>
                </c:pt>
                <c:pt idx="728">
                  <c:v>45302</c:v>
                </c:pt>
                <c:pt idx="729">
                  <c:v>45303</c:v>
                </c:pt>
                <c:pt idx="730">
                  <c:v>45306</c:v>
                </c:pt>
                <c:pt idx="731">
                  <c:v>45307</c:v>
                </c:pt>
                <c:pt idx="732">
                  <c:v>45308</c:v>
                </c:pt>
                <c:pt idx="733">
                  <c:v>45309</c:v>
                </c:pt>
                <c:pt idx="734">
                  <c:v>45310</c:v>
                </c:pt>
                <c:pt idx="735">
                  <c:v>45314</c:v>
                </c:pt>
                <c:pt idx="736">
                  <c:v>45315</c:v>
                </c:pt>
                <c:pt idx="737">
                  <c:v>45316</c:v>
                </c:pt>
                <c:pt idx="738">
                  <c:v>45320</c:v>
                </c:pt>
                <c:pt idx="739">
                  <c:v>45321</c:v>
                </c:pt>
                <c:pt idx="740">
                  <c:v>45322</c:v>
                </c:pt>
                <c:pt idx="741">
                  <c:v>45323</c:v>
                </c:pt>
                <c:pt idx="742">
                  <c:v>45324</c:v>
                </c:pt>
                <c:pt idx="743">
                  <c:v>45327</c:v>
                </c:pt>
                <c:pt idx="744">
                  <c:v>45328</c:v>
                </c:pt>
                <c:pt idx="745">
                  <c:v>45329</c:v>
                </c:pt>
                <c:pt idx="746">
                  <c:v>45330</c:v>
                </c:pt>
                <c:pt idx="747">
                  <c:v>45331</c:v>
                </c:pt>
                <c:pt idx="748">
                  <c:v>45334</c:v>
                </c:pt>
                <c:pt idx="749">
                  <c:v>45335</c:v>
                </c:pt>
                <c:pt idx="750">
                  <c:v>45336</c:v>
                </c:pt>
                <c:pt idx="751">
                  <c:v>45337</c:v>
                </c:pt>
                <c:pt idx="752">
                  <c:v>45338</c:v>
                </c:pt>
                <c:pt idx="753">
                  <c:v>45341</c:v>
                </c:pt>
                <c:pt idx="754">
                  <c:v>45342</c:v>
                </c:pt>
                <c:pt idx="755">
                  <c:v>45343</c:v>
                </c:pt>
                <c:pt idx="756">
                  <c:v>45344</c:v>
                </c:pt>
                <c:pt idx="757">
                  <c:v>45345</c:v>
                </c:pt>
                <c:pt idx="758">
                  <c:v>45348</c:v>
                </c:pt>
                <c:pt idx="759">
                  <c:v>45349</c:v>
                </c:pt>
                <c:pt idx="760">
                  <c:v>45350</c:v>
                </c:pt>
                <c:pt idx="761">
                  <c:v>45351</c:v>
                </c:pt>
                <c:pt idx="762">
                  <c:v>45352</c:v>
                </c:pt>
                <c:pt idx="763">
                  <c:v>45355</c:v>
                </c:pt>
                <c:pt idx="764">
                  <c:v>45356</c:v>
                </c:pt>
                <c:pt idx="765">
                  <c:v>45357</c:v>
                </c:pt>
                <c:pt idx="766">
                  <c:v>45358</c:v>
                </c:pt>
                <c:pt idx="767">
                  <c:v>45362</c:v>
                </c:pt>
                <c:pt idx="768">
                  <c:v>45363</c:v>
                </c:pt>
                <c:pt idx="769">
                  <c:v>45364</c:v>
                </c:pt>
                <c:pt idx="770">
                  <c:v>45365</c:v>
                </c:pt>
                <c:pt idx="771">
                  <c:v>45366</c:v>
                </c:pt>
                <c:pt idx="772">
                  <c:v>45369</c:v>
                </c:pt>
                <c:pt idx="773">
                  <c:v>45370</c:v>
                </c:pt>
                <c:pt idx="774">
                  <c:v>45371</c:v>
                </c:pt>
                <c:pt idx="775">
                  <c:v>45372</c:v>
                </c:pt>
                <c:pt idx="776">
                  <c:v>45373</c:v>
                </c:pt>
                <c:pt idx="777">
                  <c:v>45377</c:v>
                </c:pt>
                <c:pt idx="778">
                  <c:v>45378</c:v>
                </c:pt>
                <c:pt idx="779">
                  <c:v>45379</c:v>
                </c:pt>
                <c:pt idx="780">
                  <c:v>45383</c:v>
                </c:pt>
                <c:pt idx="781">
                  <c:v>45384</c:v>
                </c:pt>
                <c:pt idx="782">
                  <c:v>45385</c:v>
                </c:pt>
                <c:pt idx="783">
                  <c:v>45386</c:v>
                </c:pt>
                <c:pt idx="784">
                  <c:v>45387</c:v>
                </c:pt>
                <c:pt idx="785">
                  <c:v>45390</c:v>
                </c:pt>
                <c:pt idx="786">
                  <c:v>45391</c:v>
                </c:pt>
                <c:pt idx="787">
                  <c:v>45392</c:v>
                </c:pt>
                <c:pt idx="788">
                  <c:v>45394</c:v>
                </c:pt>
                <c:pt idx="789">
                  <c:v>45397</c:v>
                </c:pt>
                <c:pt idx="790">
                  <c:v>45398</c:v>
                </c:pt>
                <c:pt idx="791">
                  <c:v>45400</c:v>
                </c:pt>
                <c:pt idx="792">
                  <c:v>45401</c:v>
                </c:pt>
                <c:pt idx="793">
                  <c:v>45404</c:v>
                </c:pt>
                <c:pt idx="794">
                  <c:v>45405</c:v>
                </c:pt>
                <c:pt idx="795">
                  <c:v>45406</c:v>
                </c:pt>
                <c:pt idx="796">
                  <c:v>45407</c:v>
                </c:pt>
                <c:pt idx="797">
                  <c:v>45408</c:v>
                </c:pt>
                <c:pt idx="798">
                  <c:v>45411</c:v>
                </c:pt>
                <c:pt idx="799">
                  <c:v>45412</c:v>
                </c:pt>
                <c:pt idx="800">
                  <c:v>45414</c:v>
                </c:pt>
                <c:pt idx="801">
                  <c:v>45415</c:v>
                </c:pt>
                <c:pt idx="802">
                  <c:v>45418</c:v>
                </c:pt>
                <c:pt idx="803">
                  <c:v>45419</c:v>
                </c:pt>
                <c:pt idx="804">
                  <c:v>45420</c:v>
                </c:pt>
                <c:pt idx="805">
                  <c:v>45421</c:v>
                </c:pt>
                <c:pt idx="806">
                  <c:v>45422</c:v>
                </c:pt>
                <c:pt idx="807">
                  <c:v>45425</c:v>
                </c:pt>
                <c:pt idx="808">
                  <c:v>45426</c:v>
                </c:pt>
                <c:pt idx="809">
                  <c:v>45427</c:v>
                </c:pt>
                <c:pt idx="810">
                  <c:v>45428</c:v>
                </c:pt>
                <c:pt idx="811">
                  <c:v>45429</c:v>
                </c:pt>
                <c:pt idx="812">
                  <c:v>45433</c:v>
                </c:pt>
                <c:pt idx="813">
                  <c:v>45434</c:v>
                </c:pt>
                <c:pt idx="814">
                  <c:v>45435</c:v>
                </c:pt>
                <c:pt idx="815">
                  <c:v>45436</c:v>
                </c:pt>
                <c:pt idx="816">
                  <c:v>45439</c:v>
                </c:pt>
                <c:pt idx="817">
                  <c:v>45440</c:v>
                </c:pt>
                <c:pt idx="818">
                  <c:v>45441</c:v>
                </c:pt>
                <c:pt idx="819">
                  <c:v>45442</c:v>
                </c:pt>
                <c:pt idx="820">
                  <c:v>45443</c:v>
                </c:pt>
                <c:pt idx="821">
                  <c:v>45446</c:v>
                </c:pt>
                <c:pt idx="822">
                  <c:v>45447</c:v>
                </c:pt>
                <c:pt idx="823">
                  <c:v>45448</c:v>
                </c:pt>
                <c:pt idx="824">
                  <c:v>45449</c:v>
                </c:pt>
                <c:pt idx="825">
                  <c:v>45450</c:v>
                </c:pt>
                <c:pt idx="826">
                  <c:v>45453</c:v>
                </c:pt>
                <c:pt idx="827">
                  <c:v>45454</c:v>
                </c:pt>
                <c:pt idx="828">
                  <c:v>45455</c:v>
                </c:pt>
                <c:pt idx="829">
                  <c:v>45456</c:v>
                </c:pt>
                <c:pt idx="830">
                  <c:v>45457</c:v>
                </c:pt>
                <c:pt idx="831">
                  <c:v>45461</c:v>
                </c:pt>
                <c:pt idx="832">
                  <c:v>45462</c:v>
                </c:pt>
                <c:pt idx="833">
                  <c:v>45463</c:v>
                </c:pt>
                <c:pt idx="834">
                  <c:v>45464</c:v>
                </c:pt>
                <c:pt idx="835">
                  <c:v>45467</c:v>
                </c:pt>
                <c:pt idx="836">
                  <c:v>45468</c:v>
                </c:pt>
                <c:pt idx="837">
                  <c:v>45469</c:v>
                </c:pt>
                <c:pt idx="838">
                  <c:v>45470</c:v>
                </c:pt>
                <c:pt idx="839">
                  <c:v>45471</c:v>
                </c:pt>
                <c:pt idx="840">
                  <c:v>45474</c:v>
                </c:pt>
                <c:pt idx="841">
                  <c:v>45475</c:v>
                </c:pt>
                <c:pt idx="842">
                  <c:v>45476</c:v>
                </c:pt>
                <c:pt idx="843">
                  <c:v>45477</c:v>
                </c:pt>
                <c:pt idx="844">
                  <c:v>45478</c:v>
                </c:pt>
                <c:pt idx="845">
                  <c:v>45481</c:v>
                </c:pt>
                <c:pt idx="846">
                  <c:v>45482</c:v>
                </c:pt>
                <c:pt idx="847">
                  <c:v>45483</c:v>
                </c:pt>
                <c:pt idx="848">
                  <c:v>45484</c:v>
                </c:pt>
                <c:pt idx="849">
                  <c:v>45485</c:v>
                </c:pt>
                <c:pt idx="850">
                  <c:v>45488</c:v>
                </c:pt>
                <c:pt idx="851">
                  <c:v>45489</c:v>
                </c:pt>
                <c:pt idx="852">
                  <c:v>45491</c:v>
                </c:pt>
                <c:pt idx="853">
                  <c:v>45492</c:v>
                </c:pt>
                <c:pt idx="854">
                  <c:v>45495</c:v>
                </c:pt>
                <c:pt idx="855">
                  <c:v>45496</c:v>
                </c:pt>
                <c:pt idx="856">
                  <c:v>45497</c:v>
                </c:pt>
                <c:pt idx="857">
                  <c:v>45498</c:v>
                </c:pt>
                <c:pt idx="858">
                  <c:v>45499</c:v>
                </c:pt>
                <c:pt idx="859">
                  <c:v>45502</c:v>
                </c:pt>
                <c:pt idx="860">
                  <c:v>45503</c:v>
                </c:pt>
                <c:pt idx="861">
                  <c:v>45504</c:v>
                </c:pt>
                <c:pt idx="862">
                  <c:v>45505</c:v>
                </c:pt>
                <c:pt idx="863">
                  <c:v>45506</c:v>
                </c:pt>
                <c:pt idx="864">
                  <c:v>45509</c:v>
                </c:pt>
                <c:pt idx="865">
                  <c:v>45510</c:v>
                </c:pt>
                <c:pt idx="866">
                  <c:v>45511</c:v>
                </c:pt>
                <c:pt idx="867">
                  <c:v>45512</c:v>
                </c:pt>
                <c:pt idx="868">
                  <c:v>45513</c:v>
                </c:pt>
                <c:pt idx="869">
                  <c:v>45516</c:v>
                </c:pt>
                <c:pt idx="870">
                  <c:v>45517</c:v>
                </c:pt>
                <c:pt idx="871">
                  <c:v>45518</c:v>
                </c:pt>
                <c:pt idx="872">
                  <c:v>45520</c:v>
                </c:pt>
                <c:pt idx="873">
                  <c:v>45523</c:v>
                </c:pt>
                <c:pt idx="874">
                  <c:v>45524</c:v>
                </c:pt>
                <c:pt idx="875">
                  <c:v>45525</c:v>
                </c:pt>
                <c:pt idx="876">
                  <c:v>45526</c:v>
                </c:pt>
                <c:pt idx="877">
                  <c:v>45527</c:v>
                </c:pt>
                <c:pt idx="878">
                  <c:v>45530</c:v>
                </c:pt>
                <c:pt idx="879">
                  <c:v>45531</c:v>
                </c:pt>
                <c:pt idx="880">
                  <c:v>45532</c:v>
                </c:pt>
                <c:pt idx="881">
                  <c:v>45533</c:v>
                </c:pt>
                <c:pt idx="882">
                  <c:v>45534</c:v>
                </c:pt>
                <c:pt idx="883">
                  <c:v>45537</c:v>
                </c:pt>
                <c:pt idx="884">
                  <c:v>45538</c:v>
                </c:pt>
                <c:pt idx="885">
                  <c:v>45539</c:v>
                </c:pt>
                <c:pt idx="886">
                  <c:v>45540</c:v>
                </c:pt>
                <c:pt idx="887">
                  <c:v>45541</c:v>
                </c:pt>
                <c:pt idx="888">
                  <c:v>45544</c:v>
                </c:pt>
                <c:pt idx="889">
                  <c:v>45545</c:v>
                </c:pt>
                <c:pt idx="890">
                  <c:v>45546</c:v>
                </c:pt>
                <c:pt idx="891">
                  <c:v>45547</c:v>
                </c:pt>
                <c:pt idx="892">
                  <c:v>45548</c:v>
                </c:pt>
                <c:pt idx="893">
                  <c:v>45551</c:v>
                </c:pt>
                <c:pt idx="894">
                  <c:v>45552</c:v>
                </c:pt>
                <c:pt idx="895">
                  <c:v>45553</c:v>
                </c:pt>
                <c:pt idx="896">
                  <c:v>45554</c:v>
                </c:pt>
                <c:pt idx="897">
                  <c:v>45555</c:v>
                </c:pt>
                <c:pt idx="898">
                  <c:v>45558</c:v>
                </c:pt>
                <c:pt idx="899">
                  <c:v>45559</c:v>
                </c:pt>
                <c:pt idx="900">
                  <c:v>45560</c:v>
                </c:pt>
                <c:pt idx="901">
                  <c:v>45561</c:v>
                </c:pt>
                <c:pt idx="902">
                  <c:v>45562</c:v>
                </c:pt>
                <c:pt idx="903">
                  <c:v>45565</c:v>
                </c:pt>
                <c:pt idx="904">
                  <c:v>45566</c:v>
                </c:pt>
                <c:pt idx="905">
                  <c:v>45568</c:v>
                </c:pt>
                <c:pt idx="906">
                  <c:v>45569</c:v>
                </c:pt>
                <c:pt idx="907">
                  <c:v>45572</c:v>
                </c:pt>
                <c:pt idx="908">
                  <c:v>45573</c:v>
                </c:pt>
                <c:pt idx="909">
                  <c:v>45574</c:v>
                </c:pt>
                <c:pt idx="910">
                  <c:v>45575</c:v>
                </c:pt>
                <c:pt idx="911">
                  <c:v>45576</c:v>
                </c:pt>
                <c:pt idx="912">
                  <c:v>45579</c:v>
                </c:pt>
                <c:pt idx="913">
                  <c:v>45580</c:v>
                </c:pt>
                <c:pt idx="914">
                  <c:v>45581</c:v>
                </c:pt>
                <c:pt idx="915">
                  <c:v>45582</c:v>
                </c:pt>
                <c:pt idx="916">
                  <c:v>45583</c:v>
                </c:pt>
                <c:pt idx="917">
                  <c:v>45586</c:v>
                </c:pt>
                <c:pt idx="918">
                  <c:v>45587</c:v>
                </c:pt>
                <c:pt idx="919">
                  <c:v>45588</c:v>
                </c:pt>
                <c:pt idx="920">
                  <c:v>45589</c:v>
                </c:pt>
                <c:pt idx="921">
                  <c:v>45590</c:v>
                </c:pt>
                <c:pt idx="922">
                  <c:v>45593</c:v>
                </c:pt>
                <c:pt idx="923">
                  <c:v>45594</c:v>
                </c:pt>
                <c:pt idx="924">
                  <c:v>45595</c:v>
                </c:pt>
                <c:pt idx="925">
                  <c:v>45596</c:v>
                </c:pt>
                <c:pt idx="926">
                  <c:v>45600</c:v>
                </c:pt>
                <c:pt idx="927">
                  <c:v>45601</c:v>
                </c:pt>
                <c:pt idx="928">
                  <c:v>45602</c:v>
                </c:pt>
                <c:pt idx="929">
                  <c:v>45603</c:v>
                </c:pt>
                <c:pt idx="930">
                  <c:v>45604</c:v>
                </c:pt>
                <c:pt idx="931">
                  <c:v>45607</c:v>
                </c:pt>
                <c:pt idx="932">
                  <c:v>45608</c:v>
                </c:pt>
                <c:pt idx="933">
                  <c:v>45609</c:v>
                </c:pt>
                <c:pt idx="934">
                  <c:v>45610</c:v>
                </c:pt>
                <c:pt idx="935">
                  <c:v>45614</c:v>
                </c:pt>
                <c:pt idx="936">
                  <c:v>45615</c:v>
                </c:pt>
                <c:pt idx="937">
                  <c:v>45617</c:v>
                </c:pt>
                <c:pt idx="938">
                  <c:v>45618</c:v>
                </c:pt>
                <c:pt idx="939">
                  <c:v>45621</c:v>
                </c:pt>
                <c:pt idx="940">
                  <c:v>45622</c:v>
                </c:pt>
                <c:pt idx="941">
                  <c:v>45623</c:v>
                </c:pt>
                <c:pt idx="942">
                  <c:v>45624</c:v>
                </c:pt>
                <c:pt idx="943">
                  <c:v>45625</c:v>
                </c:pt>
                <c:pt idx="944">
                  <c:v>45628</c:v>
                </c:pt>
                <c:pt idx="945">
                  <c:v>45629</c:v>
                </c:pt>
                <c:pt idx="946">
                  <c:v>45630</c:v>
                </c:pt>
                <c:pt idx="947">
                  <c:v>45631</c:v>
                </c:pt>
                <c:pt idx="948">
                  <c:v>45632</c:v>
                </c:pt>
                <c:pt idx="949">
                  <c:v>45635</c:v>
                </c:pt>
                <c:pt idx="950">
                  <c:v>45636</c:v>
                </c:pt>
                <c:pt idx="951">
                  <c:v>45637</c:v>
                </c:pt>
                <c:pt idx="952">
                  <c:v>45638</c:v>
                </c:pt>
                <c:pt idx="953">
                  <c:v>45639</c:v>
                </c:pt>
                <c:pt idx="954">
                  <c:v>45642</c:v>
                </c:pt>
                <c:pt idx="955">
                  <c:v>45643</c:v>
                </c:pt>
                <c:pt idx="956">
                  <c:v>45644</c:v>
                </c:pt>
                <c:pt idx="957">
                  <c:v>45645</c:v>
                </c:pt>
                <c:pt idx="958">
                  <c:v>45646</c:v>
                </c:pt>
                <c:pt idx="959">
                  <c:v>45649</c:v>
                </c:pt>
                <c:pt idx="960">
                  <c:v>45650</c:v>
                </c:pt>
                <c:pt idx="961">
                  <c:v>45652</c:v>
                </c:pt>
                <c:pt idx="962">
                  <c:v>45653</c:v>
                </c:pt>
                <c:pt idx="963">
                  <c:v>45656</c:v>
                </c:pt>
                <c:pt idx="964">
                  <c:v>45657</c:v>
                </c:pt>
                <c:pt idx="965">
                  <c:v>45658</c:v>
                </c:pt>
                <c:pt idx="966">
                  <c:v>45659</c:v>
                </c:pt>
                <c:pt idx="967">
                  <c:v>45660</c:v>
                </c:pt>
                <c:pt idx="968">
                  <c:v>45663</c:v>
                </c:pt>
                <c:pt idx="969">
                  <c:v>45664</c:v>
                </c:pt>
                <c:pt idx="970">
                  <c:v>45665</c:v>
                </c:pt>
                <c:pt idx="971">
                  <c:v>45666</c:v>
                </c:pt>
                <c:pt idx="972">
                  <c:v>45667</c:v>
                </c:pt>
                <c:pt idx="973">
                  <c:v>45670</c:v>
                </c:pt>
                <c:pt idx="974">
                  <c:v>45671</c:v>
                </c:pt>
                <c:pt idx="975">
                  <c:v>45672</c:v>
                </c:pt>
                <c:pt idx="976">
                  <c:v>45673</c:v>
                </c:pt>
                <c:pt idx="977">
                  <c:v>45674</c:v>
                </c:pt>
                <c:pt idx="978">
                  <c:v>45677</c:v>
                </c:pt>
                <c:pt idx="979">
                  <c:v>45678</c:v>
                </c:pt>
                <c:pt idx="980">
                  <c:v>45679</c:v>
                </c:pt>
                <c:pt idx="981">
                  <c:v>45680</c:v>
                </c:pt>
                <c:pt idx="982">
                  <c:v>45681</c:v>
                </c:pt>
                <c:pt idx="983">
                  <c:v>45684</c:v>
                </c:pt>
                <c:pt idx="984">
                  <c:v>45685</c:v>
                </c:pt>
                <c:pt idx="985">
                  <c:v>45686</c:v>
                </c:pt>
                <c:pt idx="986">
                  <c:v>45687</c:v>
                </c:pt>
                <c:pt idx="987">
                  <c:v>45688</c:v>
                </c:pt>
                <c:pt idx="988">
                  <c:v>45691</c:v>
                </c:pt>
                <c:pt idx="989">
                  <c:v>45692</c:v>
                </c:pt>
                <c:pt idx="990">
                  <c:v>45693</c:v>
                </c:pt>
                <c:pt idx="991">
                  <c:v>45694</c:v>
                </c:pt>
                <c:pt idx="992">
                  <c:v>45695</c:v>
                </c:pt>
                <c:pt idx="993">
                  <c:v>45698</c:v>
                </c:pt>
                <c:pt idx="994">
                  <c:v>45699</c:v>
                </c:pt>
                <c:pt idx="995">
                  <c:v>45700</c:v>
                </c:pt>
                <c:pt idx="996">
                  <c:v>45701</c:v>
                </c:pt>
                <c:pt idx="997">
                  <c:v>45702</c:v>
                </c:pt>
                <c:pt idx="998">
                  <c:v>45705</c:v>
                </c:pt>
                <c:pt idx="999">
                  <c:v>45706</c:v>
                </c:pt>
                <c:pt idx="1000">
                  <c:v>45707</c:v>
                </c:pt>
                <c:pt idx="1001">
                  <c:v>45708</c:v>
                </c:pt>
                <c:pt idx="1002">
                  <c:v>45709</c:v>
                </c:pt>
                <c:pt idx="1003">
                  <c:v>45712</c:v>
                </c:pt>
                <c:pt idx="1004">
                  <c:v>45713</c:v>
                </c:pt>
                <c:pt idx="1005">
                  <c:v>45715</c:v>
                </c:pt>
                <c:pt idx="1006">
                  <c:v>45716</c:v>
                </c:pt>
              </c:numCache>
            </c:numRef>
          </c:cat>
          <c:val>
            <c:numRef>
              <c:f>Sheet2!$B$2:$B$1008</c:f>
              <c:numCache>
                <c:formatCode>General</c:formatCode>
                <c:ptCount val="1007"/>
                <c:pt idx="0">
                  <c:v>215.95</c:v>
                </c:pt>
                <c:pt idx="1">
                  <c:v>218.2</c:v>
                </c:pt>
                <c:pt idx="2">
                  <c:v>216.75</c:v>
                </c:pt>
                <c:pt idx="3">
                  <c:v>229.95</c:v>
                </c:pt>
                <c:pt idx="4">
                  <c:v>234.35</c:v>
                </c:pt>
                <c:pt idx="5">
                  <c:v>233.1</c:v>
                </c:pt>
                <c:pt idx="6">
                  <c:v>229</c:v>
                </c:pt>
                <c:pt idx="7">
                  <c:v>227.55</c:v>
                </c:pt>
                <c:pt idx="8">
                  <c:v>226.45</c:v>
                </c:pt>
                <c:pt idx="9">
                  <c:v>217.45</c:v>
                </c:pt>
                <c:pt idx="10">
                  <c:v>218.6</c:v>
                </c:pt>
                <c:pt idx="11">
                  <c:v>218.25</c:v>
                </c:pt>
                <c:pt idx="12">
                  <c:v>217.75</c:v>
                </c:pt>
                <c:pt idx="13">
                  <c:v>218.85</c:v>
                </c:pt>
                <c:pt idx="14">
                  <c:v>215.95</c:v>
                </c:pt>
                <c:pt idx="15">
                  <c:v>207.05</c:v>
                </c:pt>
                <c:pt idx="16">
                  <c:v>208.5</c:v>
                </c:pt>
                <c:pt idx="17">
                  <c:v>208.85</c:v>
                </c:pt>
                <c:pt idx="18">
                  <c:v>209.15</c:v>
                </c:pt>
                <c:pt idx="19">
                  <c:v>203.85</c:v>
                </c:pt>
                <c:pt idx="20">
                  <c:v>206.9</c:v>
                </c:pt>
                <c:pt idx="21">
                  <c:v>209.9</c:v>
                </c:pt>
                <c:pt idx="22">
                  <c:v>209.95</c:v>
                </c:pt>
                <c:pt idx="23">
                  <c:v>209.7</c:v>
                </c:pt>
                <c:pt idx="24">
                  <c:v>208.55</c:v>
                </c:pt>
                <c:pt idx="25">
                  <c:v>208</c:v>
                </c:pt>
                <c:pt idx="26">
                  <c:v>207.8</c:v>
                </c:pt>
                <c:pt idx="27">
                  <c:v>206.5</c:v>
                </c:pt>
                <c:pt idx="28">
                  <c:v>205.2</c:v>
                </c:pt>
                <c:pt idx="29">
                  <c:v>205.45</c:v>
                </c:pt>
                <c:pt idx="30">
                  <c:v>207.85</c:v>
                </c:pt>
                <c:pt idx="31">
                  <c:v>210.6</c:v>
                </c:pt>
                <c:pt idx="32">
                  <c:v>217.65</c:v>
                </c:pt>
                <c:pt idx="33">
                  <c:v>222.95</c:v>
                </c:pt>
                <c:pt idx="34">
                  <c:v>226</c:v>
                </c:pt>
                <c:pt idx="35">
                  <c:v>222.2</c:v>
                </c:pt>
                <c:pt idx="36">
                  <c:v>215.95</c:v>
                </c:pt>
                <c:pt idx="37">
                  <c:v>211.6</c:v>
                </c:pt>
                <c:pt idx="38">
                  <c:v>210.9</c:v>
                </c:pt>
                <c:pt idx="39">
                  <c:v>214.55</c:v>
                </c:pt>
                <c:pt idx="40">
                  <c:v>218.5</c:v>
                </c:pt>
                <c:pt idx="41">
                  <c:v>220.05</c:v>
                </c:pt>
                <c:pt idx="42">
                  <c:v>212.55</c:v>
                </c:pt>
                <c:pt idx="43">
                  <c:v>212.65</c:v>
                </c:pt>
                <c:pt idx="44">
                  <c:v>213.8</c:v>
                </c:pt>
                <c:pt idx="45">
                  <c:v>213.25</c:v>
                </c:pt>
                <c:pt idx="46">
                  <c:v>213.1</c:v>
                </c:pt>
                <c:pt idx="47">
                  <c:v>205.3</c:v>
                </c:pt>
                <c:pt idx="48">
                  <c:v>208.7</c:v>
                </c:pt>
                <c:pt idx="49">
                  <c:v>206.7</c:v>
                </c:pt>
                <c:pt idx="50">
                  <c:v>207.95</c:v>
                </c:pt>
                <c:pt idx="51">
                  <c:v>205.6</c:v>
                </c:pt>
                <c:pt idx="52">
                  <c:v>203.55</c:v>
                </c:pt>
                <c:pt idx="53">
                  <c:v>205.9</c:v>
                </c:pt>
                <c:pt idx="54">
                  <c:v>205.35</c:v>
                </c:pt>
                <c:pt idx="55">
                  <c:v>205.3</c:v>
                </c:pt>
                <c:pt idx="56">
                  <c:v>205.4</c:v>
                </c:pt>
                <c:pt idx="57">
                  <c:v>205.5</c:v>
                </c:pt>
                <c:pt idx="58">
                  <c:v>204.3</c:v>
                </c:pt>
                <c:pt idx="59">
                  <c:v>202.6</c:v>
                </c:pt>
                <c:pt idx="60">
                  <c:v>200.95</c:v>
                </c:pt>
                <c:pt idx="61">
                  <c:v>199.6</c:v>
                </c:pt>
                <c:pt idx="62">
                  <c:v>201.4</c:v>
                </c:pt>
                <c:pt idx="63">
                  <c:v>202.75</c:v>
                </c:pt>
                <c:pt idx="64">
                  <c:v>205.35</c:v>
                </c:pt>
                <c:pt idx="65">
                  <c:v>205.55</c:v>
                </c:pt>
                <c:pt idx="66">
                  <c:v>204</c:v>
                </c:pt>
                <c:pt idx="67">
                  <c:v>203.25</c:v>
                </c:pt>
                <c:pt idx="68">
                  <c:v>212.25</c:v>
                </c:pt>
                <c:pt idx="69">
                  <c:v>212.6</c:v>
                </c:pt>
                <c:pt idx="70">
                  <c:v>210.05</c:v>
                </c:pt>
                <c:pt idx="71">
                  <c:v>207.75</c:v>
                </c:pt>
                <c:pt idx="72">
                  <c:v>207</c:v>
                </c:pt>
                <c:pt idx="73">
                  <c:v>209.05</c:v>
                </c:pt>
                <c:pt idx="74">
                  <c:v>211.5</c:v>
                </c:pt>
                <c:pt idx="75">
                  <c:v>210.9</c:v>
                </c:pt>
                <c:pt idx="76">
                  <c:v>210.6</c:v>
                </c:pt>
                <c:pt idx="77">
                  <c:v>211.15</c:v>
                </c:pt>
                <c:pt idx="78">
                  <c:v>212.9</c:v>
                </c:pt>
                <c:pt idx="79">
                  <c:v>216.6</c:v>
                </c:pt>
                <c:pt idx="80">
                  <c:v>215.25</c:v>
                </c:pt>
                <c:pt idx="81">
                  <c:v>209</c:v>
                </c:pt>
                <c:pt idx="82">
                  <c:v>209.05</c:v>
                </c:pt>
                <c:pt idx="83">
                  <c:v>208.75</c:v>
                </c:pt>
                <c:pt idx="84">
                  <c:v>211.45</c:v>
                </c:pt>
                <c:pt idx="85">
                  <c:v>213.65</c:v>
                </c:pt>
                <c:pt idx="86">
                  <c:v>212.5</c:v>
                </c:pt>
                <c:pt idx="87">
                  <c:v>209.3</c:v>
                </c:pt>
                <c:pt idx="88">
                  <c:v>207.9</c:v>
                </c:pt>
                <c:pt idx="89">
                  <c:v>207.3</c:v>
                </c:pt>
                <c:pt idx="90">
                  <c:v>207.05</c:v>
                </c:pt>
                <c:pt idx="91">
                  <c:v>207.85</c:v>
                </c:pt>
                <c:pt idx="92">
                  <c:v>205.65</c:v>
                </c:pt>
                <c:pt idx="93">
                  <c:v>204.55</c:v>
                </c:pt>
                <c:pt idx="94">
                  <c:v>204.45</c:v>
                </c:pt>
                <c:pt idx="95">
                  <c:v>205.1</c:v>
                </c:pt>
                <c:pt idx="96">
                  <c:v>203.95</c:v>
                </c:pt>
                <c:pt idx="97">
                  <c:v>203.25</c:v>
                </c:pt>
                <c:pt idx="98">
                  <c:v>205.05</c:v>
                </c:pt>
                <c:pt idx="99">
                  <c:v>203.6</c:v>
                </c:pt>
                <c:pt idx="100">
                  <c:v>203.3</c:v>
                </c:pt>
                <c:pt idx="101">
                  <c:v>202.7</c:v>
                </c:pt>
                <c:pt idx="102">
                  <c:v>203</c:v>
                </c:pt>
                <c:pt idx="103">
                  <c:v>202.4</c:v>
                </c:pt>
                <c:pt idx="104">
                  <c:v>203.65</c:v>
                </c:pt>
                <c:pt idx="105">
                  <c:v>202.5</c:v>
                </c:pt>
                <c:pt idx="106">
                  <c:v>203.75</c:v>
                </c:pt>
                <c:pt idx="107">
                  <c:v>202</c:v>
                </c:pt>
                <c:pt idx="108">
                  <c:v>201.35</c:v>
                </c:pt>
                <c:pt idx="109">
                  <c:v>201.1</c:v>
                </c:pt>
                <c:pt idx="110">
                  <c:v>201.85</c:v>
                </c:pt>
                <c:pt idx="111">
                  <c:v>204.1</c:v>
                </c:pt>
                <c:pt idx="112">
                  <c:v>206.25</c:v>
                </c:pt>
                <c:pt idx="113">
                  <c:v>207.9</c:v>
                </c:pt>
                <c:pt idx="114">
                  <c:v>207.75</c:v>
                </c:pt>
                <c:pt idx="115">
                  <c:v>206.8</c:v>
                </c:pt>
                <c:pt idx="116">
                  <c:v>207</c:v>
                </c:pt>
                <c:pt idx="117">
                  <c:v>212.4</c:v>
                </c:pt>
                <c:pt idx="118">
                  <c:v>211.15</c:v>
                </c:pt>
                <c:pt idx="119">
                  <c:v>208.65</c:v>
                </c:pt>
                <c:pt idx="120">
                  <c:v>209.1</c:v>
                </c:pt>
                <c:pt idx="121">
                  <c:v>206.05</c:v>
                </c:pt>
                <c:pt idx="122">
                  <c:v>204.95</c:v>
                </c:pt>
                <c:pt idx="123">
                  <c:v>207.3</c:v>
                </c:pt>
                <c:pt idx="124">
                  <c:v>209.9</c:v>
                </c:pt>
                <c:pt idx="125">
                  <c:v>208.6</c:v>
                </c:pt>
                <c:pt idx="126">
                  <c:v>215.25</c:v>
                </c:pt>
                <c:pt idx="127">
                  <c:v>214.25</c:v>
                </c:pt>
                <c:pt idx="128">
                  <c:v>213.8</c:v>
                </c:pt>
                <c:pt idx="129">
                  <c:v>209.85</c:v>
                </c:pt>
                <c:pt idx="130">
                  <c:v>208.65</c:v>
                </c:pt>
                <c:pt idx="131">
                  <c:v>208.9</c:v>
                </c:pt>
                <c:pt idx="132">
                  <c:v>211.45</c:v>
                </c:pt>
                <c:pt idx="133">
                  <c:v>210.9</c:v>
                </c:pt>
                <c:pt idx="134">
                  <c:v>209.2</c:v>
                </c:pt>
                <c:pt idx="135">
                  <c:v>208.95</c:v>
                </c:pt>
                <c:pt idx="136">
                  <c:v>208.9</c:v>
                </c:pt>
                <c:pt idx="137">
                  <c:v>206.3</c:v>
                </c:pt>
                <c:pt idx="138">
                  <c:v>205.75</c:v>
                </c:pt>
                <c:pt idx="139">
                  <c:v>206.4</c:v>
                </c:pt>
                <c:pt idx="140">
                  <c:v>204.6</c:v>
                </c:pt>
                <c:pt idx="141">
                  <c:v>205.9</c:v>
                </c:pt>
                <c:pt idx="142">
                  <c:v>208</c:v>
                </c:pt>
                <c:pt idx="143">
                  <c:v>211.3</c:v>
                </c:pt>
                <c:pt idx="144">
                  <c:v>209.5</c:v>
                </c:pt>
                <c:pt idx="145">
                  <c:v>209.75</c:v>
                </c:pt>
                <c:pt idx="146">
                  <c:v>210.6</c:v>
                </c:pt>
                <c:pt idx="147">
                  <c:v>209.3</c:v>
                </c:pt>
                <c:pt idx="148">
                  <c:v>211.75</c:v>
                </c:pt>
                <c:pt idx="149">
                  <c:v>211.25</c:v>
                </c:pt>
                <c:pt idx="150">
                  <c:v>212.65</c:v>
                </c:pt>
                <c:pt idx="151">
                  <c:v>214.15</c:v>
                </c:pt>
                <c:pt idx="152">
                  <c:v>216.1</c:v>
                </c:pt>
                <c:pt idx="153">
                  <c:v>216</c:v>
                </c:pt>
                <c:pt idx="154">
                  <c:v>230.75</c:v>
                </c:pt>
                <c:pt idx="155">
                  <c:v>231.15</c:v>
                </c:pt>
                <c:pt idx="156">
                  <c:v>233.75</c:v>
                </c:pt>
                <c:pt idx="157">
                  <c:v>241.5</c:v>
                </c:pt>
                <c:pt idx="158">
                  <c:v>243.5</c:v>
                </c:pt>
                <c:pt idx="159">
                  <c:v>242.5</c:v>
                </c:pt>
                <c:pt idx="160">
                  <c:v>238.45</c:v>
                </c:pt>
                <c:pt idx="161">
                  <c:v>238.7</c:v>
                </c:pt>
                <c:pt idx="162">
                  <c:v>237.75</c:v>
                </c:pt>
                <c:pt idx="163">
                  <c:v>238.1</c:v>
                </c:pt>
                <c:pt idx="164">
                  <c:v>236.15</c:v>
                </c:pt>
                <c:pt idx="165">
                  <c:v>235.35</c:v>
                </c:pt>
                <c:pt idx="166">
                  <c:v>236.6</c:v>
                </c:pt>
                <c:pt idx="167">
                  <c:v>234.7</c:v>
                </c:pt>
                <c:pt idx="168">
                  <c:v>231.25</c:v>
                </c:pt>
                <c:pt idx="169">
                  <c:v>232.95</c:v>
                </c:pt>
                <c:pt idx="170">
                  <c:v>231.7</c:v>
                </c:pt>
                <c:pt idx="171">
                  <c:v>238.05</c:v>
                </c:pt>
                <c:pt idx="172">
                  <c:v>241.3</c:v>
                </c:pt>
                <c:pt idx="173">
                  <c:v>249.2</c:v>
                </c:pt>
                <c:pt idx="174">
                  <c:v>256.55</c:v>
                </c:pt>
                <c:pt idx="175">
                  <c:v>262.55</c:v>
                </c:pt>
                <c:pt idx="176">
                  <c:v>245.95</c:v>
                </c:pt>
                <c:pt idx="177">
                  <c:v>246.6</c:v>
                </c:pt>
                <c:pt idx="178">
                  <c:v>244.7</c:v>
                </c:pt>
                <c:pt idx="179">
                  <c:v>236.6</c:v>
                </c:pt>
                <c:pt idx="180">
                  <c:v>233.4</c:v>
                </c:pt>
                <c:pt idx="181">
                  <c:v>236.7</c:v>
                </c:pt>
                <c:pt idx="182">
                  <c:v>238.45</c:v>
                </c:pt>
                <c:pt idx="183">
                  <c:v>225.1</c:v>
                </c:pt>
                <c:pt idx="184">
                  <c:v>223.2</c:v>
                </c:pt>
                <c:pt idx="185">
                  <c:v>226.85</c:v>
                </c:pt>
                <c:pt idx="186">
                  <c:v>225.6</c:v>
                </c:pt>
                <c:pt idx="187">
                  <c:v>222.45</c:v>
                </c:pt>
                <c:pt idx="188">
                  <c:v>226.55</c:v>
                </c:pt>
                <c:pt idx="189">
                  <c:v>229.8</c:v>
                </c:pt>
                <c:pt idx="190">
                  <c:v>228.75</c:v>
                </c:pt>
                <c:pt idx="191">
                  <c:v>230.85</c:v>
                </c:pt>
                <c:pt idx="192">
                  <c:v>230</c:v>
                </c:pt>
                <c:pt idx="193">
                  <c:v>232.9</c:v>
                </c:pt>
                <c:pt idx="194">
                  <c:v>238.1</c:v>
                </c:pt>
                <c:pt idx="195">
                  <c:v>235.45</c:v>
                </c:pt>
                <c:pt idx="196">
                  <c:v>239.5</c:v>
                </c:pt>
                <c:pt idx="197">
                  <c:v>237.5</c:v>
                </c:pt>
                <c:pt idx="198">
                  <c:v>230.9</c:v>
                </c:pt>
                <c:pt idx="199">
                  <c:v>231.6</c:v>
                </c:pt>
                <c:pt idx="200">
                  <c:v>227.7</c:v>
                </c:pt>
                <c:pt idx="201">
                  <c:v>231.3</c:v>
                </c:pt>
                <c:pt idx="202">
                  <c:v>224</c:v>
                </c:pt>
                <c:pt idx="203">
                  <c:v>221.5</c:v>
                </c:pt>
                <c:pt idx="204">
                  <c:v>221.15</c:v>
                </c:pt>
                <c:pt idx="205">
                  <c:v>221.9</c:v>
                </c:pt>
                <c:pt idx="206">
                  <c:v>225.45</c:v>
                </c:pt>
                <c:pt idx="207">
                  <c:v>221.65</c:v>
                </c:pt>
                <c:pt idx="208">
                  <c:v>217.9</c:v>
                </c:pt>
                <c:pt idx="209">
                  <c:v>220.65</c:v>
                </c:pt>
                <c:pt idx="210">
                  <c:v>224.95</c:v>
                </c:pt>
                <c:pt idx="211">
                  <c:v>235.4</c:v>
                </c:pt>
                <c:pt idx="212">
                  <c:v>236.1</c:v>
                </c:pt>
                <c:pt idx="213">
                  <c:v>234.6</c:v>
                </c:pt>
                <c:pt idx="214">
                  <c:v>228.6</c:v>
                </c:pt>
                <c:pt idx="215">
                  <c:v>224.05</c:v>
                </c:pt>
                <c:pt idx="216">
                  <c:v>222.9</c:v>
                </c:pt>
                <c:pt idx="217">
                  <c:v>217.95</c:v>
                </c:pt>
                <c:pt idx="218">
                  <c:v>212.4</c:v>
                </c:pt>
                <c:pt idx="219">
                  <c:v>212.5</c:v>
                </c:pt>
                <c:pt idx="220">
                  <c:v>212</c:v>
                </c:pt>
                <c:pt idx="221">
                  <c:v>217.3</c:v>
                </c:pt>
                <c:pt idx="222">
                  <c:v>218</c:v>
                </c:pt>
                <c:pt idx="223">
                  <c:v>217.55</c:v>
                </c:pt>
                <c:pt idx="224">
                  <c:v>220.05</c:v>
                </c:pt>
                <c:pt idx="225">
                  <c:v>216.75</c:v>
                </c:pt>
                <c:pt idx="226">
                  <c:v>216</c:v>
                </c:pt>
                <c:pt idx="227">
                  <c:v>218.05</c:v>
                </c:pt>
                <c:pt idx="228">
                  <c:v>219.1</c:v>
                </c:pt>
                <c:pt idx="229">
                  <c:v>220.25</c:v>
                </c:pt>
                <c:pt idx="230">
                  <c:v>220.55</c:v>
                </c:pt>
                <c:pt idx="231">
                  <c:v>218.7</c:v>
                </c:pt>
                <c:pt idx="232">
                  <c:v>218.4</c:v>
                </c:pt>
                <c:pt idx="233">
                  <c:v>223.3</c:v>
                </c:pt>
                <c:pt idx="234">
                  <c:v>221.95</c:v>
                </c:pt>
                <c:pt idx="235">
                  <c:v>222.75</c:v>
                </c:pt>
                <c:pt idx="236">
                  <c:v>223.95</c:v>
                </c:pt>
                <c:pt idx="237">
                  <c:v>222.6</c:v>
                </c:pt>
                <c:pt idx="238">
                  <c:v>224.6</c:v>
                </c:pt>
                <c:pt idx="239">
                  <c:v>220.75</c:v>
                </c:pt>
                <c:pt idx="240">
                  <c:v>220.35</c:v>
                </c:pt>
                <c:pt idx="241">
                  <c:v>218.75</c:v>
                </c:pt>
                <c:pt idx="242">
                  <c:v>217.05</c:v>
                </c:pt>
                <c:pt idx="243">
                  <c:v>211.8</c:v>
                </c:pt>
                <c:pt idx="244">
                  <c:v>214.3</c:v>
                </c:pt>
                <c:pt idx="245">
                  <c:v>214.6</c:v>
                </c:pt>
                <c:pt idx="246">
                  <c:v>217.6</c:v>
                </c:pt>
                <c:pt idx="247">
                  <c:v>220.2</c:v>
                </c:pt>
                <c:pt idx="248">
                  <c:v>227.75</c:v>
                </c:pt>
                <c:pt idx="249">
                  <c:v>232.15</c:v>
                </c:pt>
                <c:pt idx="250">
                  <c:v>234.45</c:v>
                </c:pt>
                <c:pt idx="251">
                  <c:v>234.3</c:v>
                </c:pt>
                <c:pt idx="252">
                  <c:v>230.2</c:v>
                </c:pt>
                <c:pt idx="253">
                  <c:v>231.25</c:v>
                </c:pt>
                <c:pt idx="254">
                  <c:v>230.15</c:v>
                </c:pt>
                <c:pt idx="255">
                  <c:v>232.25</c:v>
                </c:pt>
                <c:pt idx="256">
                  <c:v>232.45</c:v>
                </c:pt>
                <c:pt idx="257">
                  <c:v>219.45</c:v>
                </c:pt>
                <c:pt idx="258">
                  <c:v>223</c:v>
                </c:pt>
                <c:pt idx="259">
                  <c:v>222.75</c:v>
                </c:pt>
                <c:pt idx="260">
                  <c:v>222.65</c:v>
                </c:pt>
                <c:pt idx="261">
                  <c:v>221.9</c:v>
                </c:pt>
                <c:pt idx="262">
                  <c:v>218</c:v>
                </c:pt>
                <c:pt idx="263">
                  <c:v>214.85</c:v>
                </c:pt>
                <c:pt idx="264">
                  <c:v>215.95</c:v>
                </c:pt>
                <c:pt idx="265">
                  <c:v>208.5</c:v>
                </c:pt>
                <c:pt idx="266">
                  <c:v>213.95</c:v>
                </c:pt>
                <c:pt idx="267">
                  <c:v>215.85</c:v>
                </c:pt>
                <c:pt idx="268">
                  <c:v>215.3</c:v>
                </c:pt>
                <c:pt idx="269">
                  <c:v>219.4</c:v>
                </c:pt>
                <c:pt idx="270">
                  <c:v>225.5</c:v>
                </c:pt>
                <c:pt idx="271">
                  <c:v>224.95</c:v>
                </c:pt>
                <c:pt idx="272">
                  <c:v>226.9</c:v>
                </c:pt>
                <c:pt idx="273">
                  <c:v>229.25</c:v>
                </c:pt>
                <c:pt idx="274">
                  <c:v>232</c:v>
                </c:pt>
                <c:pt idx="275">
                  <c:v>236.35</c:v>
                </c:pt>
                <c:pt idx="276">
                  <c:v>239</c:v>
                </c:pt>
                <c:pt idx="277">
                  <c:v>237.85</c:v>
                </c:pt>
                <c:pt idx="278">
                  <c:v>242.6</c:v>
                </c:pt>
                <c:pt idx="279">
                  <c:v>244.9</c:v>
                </c:pt>
                <c:pt idx="280">
                  <c:v>244.5</c:v>
                </c:pt>
                <c:pt idx="281">
                  <c:v>249.75</c:v>
                </c:pt>
                <c:pt idx="282">
                  <c:v>252</c:v>
                </c:pt>
                <c:pt idx="283">
                  <c:v>254.85</c:v>
                </c:pt>
                <c:pt idx="284">
                  <c:v>253.35</c:v>
                </c:pt>
                <c:pt idx="285">
                  <c:v>257.05</c:v>
                </c:pt>
                <c:pt idx="286">
                  <c:v>254.6</c:v>
                </c:pt>
                <c:pt idx="287">
                  <c:v>249.2</c:v>
                </c:pt>
                <c:pt idx="288">
                  <c:v>250.65</c:v>
                </c:pt>
                <c:pt idx="289">
                  <c:v>253.3</c:v>
                </c:pt>
                <c:pt idx="290">
                  <c:v>255.45</c:v>
                </c:pt>
                <c:pt idx="291">
                  <c:v>259.45</c:v>
                </c:pt>
                <c:pt idx="292">
                  <c:v>259.60000000000002</c:v>
                </c:pt>
                <c:pt idx="293">
                  <c:v>256.64999999999998</c:v>
                </c:pt>
                <c:pt idx="294">
                  <c:v>267.8</c:v>
                </c:pt>
                <c:pt idx="295">
                  <c:v>267.5</c:v>
                </c:pt>
                <c:pt idx="296">
                  <c:v>264.8</c:v>
                </c:pt>
                <c:pt idx="297">
                  <c:v>269.55</c:v>
                </c:pt>
                <c:pt idx="298">
                  <c:v>270.10000000000002</c:v>
                </c:pt>
                <c:pt idx="299">
                  <c:v>261.55</c:v>
                </c:pt>
                <c:pt idx="300">
                  <c:v>259.55</c:v>
                </c:pt>
                <c:pt idx="301">
                  <c:v>260.39999999999998</c:v>
                </c:pt>
                <c:pt idx="302">
                  <c:v>261.10000000000002</c:v>
                </c:pt>
                <c:pt idx="303">
                  <c:v>255.25</c:v>
                </c:pt>
                <c:pt idx="304">
                  <c:v>258.95</c:v>
                </c:pt>
                <c:pt idx="305">
                  <c:v>257.5</c:v>
                </c:pt>
                <c:pt idx="306">
                  <c:v>261.10000000000002</c:v>
                </c:pt>
                <c:pt idx="307">
                  <c:v>259.55</c:v>
                </c:pt>
                <c:pt idx="308">
                  <c:v>263.14999999999998</c:v>
                </c:pt>
                <c:pt idx="309">
                  <c:v>259.75</c:v>
                </c:pt>
                <c:pt idx="310">
                  <c:v>262.05</c:v>
                </c:pt>
                <c:pt idx="311">
                  <c:v>266.64999999999998</c:v>
                </c:pt>
                <c:pt idx="312">
                  <c:v>262.95</c:v>
                </c:pt>
                <c:pt idx="313">
                  <c:v>259.75</c:v>
                </c:pt>
                <c:pt idx="314">
                  <c:v>255.65</c:v>
                </c:pt>
                <c:pt idx="315">
                  <c:v>252.9</c:v>
                </c:pt>
                <c:pt idx="316">
                  <c:v>258.60000000000002</c:v>
                </c:pt>
                <c:pt idx="317">
                  <c:v>254.1</c:v>
                </c:pt>
                <c:pt idx="318">
                  <c:v>264.7</c:v>
                </c:pt>
                <c:pt idx="319">
                  <c:v>266.8</c:v>
                </c:pt>
                <c:pt idx="320">
                  <c:v>275.64999999999998</c:v>
                </c:pt>
                <c:pt idx="321">
                  <c:v>280</c:v>
                </c:pt>
                <c:pt idx="322">
                  <c:v>274.5</c:v>
                </c:pt>
                <c:pt idx="323">
                  <c:v>270.85000000000002</c:v>
                </c:pt>
                <c:pt idx="324">
                  <c:v>272.7</c:v>
                </c:pt>
                <c:pt idx="325">
                  <c:v>266.7</c:v>
                </c:pt>
                <c:pt idx="326">
                  <c:v>269.2</c:v>
                </c:pt>
                <c:pt idx="327">
                  <c:v>269.05</c:v>
                </c:pt>
                <c:pt idx="328">
                  <c:v>270.64999999999998</c:v>
                </c:pt>
                <c:pt idx="329">
                  <c:v>271.85000000000002</c:v>
                </c:pt>
                <c:pt idx="330">
                  <c:v>273.5</c:v>
                </c:pt>
                <c:pt idx="331">
                  <c:v>272.7</c:v>
                </c:pt>
                <c:pt idx="332">
                  <c:v>274.8</c:v>
                </c:pt>
                <c:pt idx="333">
                  <c:v>273.89999999999998</c:v>
                </c:pt>
                <c:pt idx="334">
                  <c:v>267.89999999999998</c:v>
                </c:pt>
                <c:pt idx="335">
                  <c:v>270.85000000000002</c:v>
                </c:pt>
                <c:pt idx="336">
                  <c:v>270.14999999999998</c:v>
                </c:pt>
                <c:pt idx="337">
                  <c:v>264.64999999999998</c:v>
                </c:pt>
                <c:pt idx="338">
                  <c:v>265.45</c:v>
                </c:pt>
                <c:pt idx="339">
                  <c:v>263.39999999999998</c:v>
                </c:pt>
                <c:pt idx="340">
                  <c:v>260.7</c:v>
                </c:pt>
                <c:pt idx="341">
                  <c:v>263.3</c:v>
                </c:pt>
                <c:pt idx="342">
                  <c:v>264.10000000000002</c:v>
                </c:pt>
                <c:pt idx="343">
                  <c:v>269.89999999999998</c:v>
                </c:pt>
                <c:pt idx="344">
                  <c:v>265.3</c:v>
                </c:pt>
                <c:pt idx="345">
                  <c:v>265.5</c:v>
                </c:pt>
                <c:pt idx="346">
                  <c:v>265.85000000000002</c:v>
                </c:pt>
                <c:pt idx="347">
                  <c:v>269.95</c:v>
                </c:pt>
                <c:pt idx="348">
                  <c:v>271.85000000000002</c:v>
                </c:pt>
                <c:pt idx="349">
                  <c:v>274.05</c:v>
                </c:pt>
                <c:pt idx="350">
                  <c:v>273.5</c:v>
                </c:pt>
                <c:pt idx="351">
                  <c:v>284.35000000000002</c:v>
                </c:pt>
                <c:pt idx="352">
                  <c:v>291.89999999999998</c:v>
                </c:pt>
                <c:pt idx="353">
                  <c:v>286.89999999999998</c:v>
                </c:pt>
                <c:pt idx="354">
                  <c:v>289.3</c:v>
                </c:pt>
                <c:pt idx="355">
                  <c:v>291.95</c:v>
                </c:pt>
                <c:pt idx="356">
                  <c:v>293.05</c:v>
                </c:pt>
                <c:pt idx="357">
                  <c:v>295</c:v>
                </c:pt>
                <c:pt idx="358">
                  <c:v>292.7</c:v>
                </c:pt>
                <c:pt idx="359">
                  <c:v>294.05</c:v>
                </c:pt>
                <c:pt idx="360">
                  <c:v>290.85000000000002</c:v>
                </c:pt>
                <c:pt idx="361">
                  <c:v>293.55</c:v>
                </c:pt>
                <c:pt idx="362">
                  <c:v>295.3</c:v>
                </c:pt>
                <c:pt idx="363">
                  <c:v>294.60000000000002</c:v>
                </c:pt>
                <c:pt idx="364">
                  <c:v>298.2</c:v>
                </c:pt>
                <c:pt idx="365">
                  <c:v>299.55</c:v>
                </c:pt>
                <c:pt idx="366">
                  <c:v>300.55</c:v>
                </c:pt>
                <c:pt idx="367">
                  <c:v>301.10000000000002</c:v>
                </c:pt>
                <c:pt idx="368">
                  <c:v>302.45</c:v>
                </c:pt>
                <c:pt idx="369">
                  <c:v>304.14999999999998</c:v>
                </c:pt>
                <c:pt idx="370">
                  <c:v>303.45</c:v>
                </c:pt>
                <c:pt idx="371">
                  <c:v>303.05</c:v>
                </c:pt>
                <c:pt idx="372">
                  <c:v>307.5</c:v>
                </c:pt>
                <c:pt idx="373">
                  <c:v>309.95</c:v>
                </c:pt>
                <c:pt idx="374">
                  <c:v>308.14999999999998</c:v>
                </c:pt>
                <c:pt idx="375">
                  <c:v>309.5</c:v>
                </c:pt>
                <c:pt idx="376">
                  <c:v>310.85000000000002</c:v>
                </c:pt>
                <c:pt idx="377">
                  <c:v>313.14999999999998</c:v>
                </c:pt>
                <c:pt idx="378">
                  <c:v>311.2</c:v>
                </c:pt>
                <c:pt idx="379">
                  <c:v>306.25</c:v>
                </c:pt>
                <c:pt idx="380">
                  <c:v>308.55</c:v>
                </c:pt>
                <c:pt idx="381">
                  <c:v>310.55</c:v>
                </c:pt>
                <c:pt idx="382">
                  <c:v>312.55</c:v>
                </c:pt>
                <c:pt idx="383">
                  <c:v>315.64999999999998</c:v>
                </c:pt>
                <c:pt idx="384">
                  <c:v>312</c:v>
                </c:pt>
                <c:pt idx="385">
                  <c:v>314.39999999999998</c:v>
                </c:pt>
                <c:pt idx="386">
                  <c:v>315.89999999999998</c:v>
                </c:pt>
                <c:pt idx="387">
                  <c:v>314.10000000000002</c:v>
                </c:pt>
                <c:pt idx="388">
                  <c:v>312.35000000000002</c:v>
                </c:pt>
                <c:pt idx="389">
                  <c:v>312.89999999999998</c:v>
                </c:pt>
                <c:pt idx="390">
                  <c:v>313.55</c:v>
                </c:pt>
                <c:pt idx="391">
                  <c:v>320.5</c:v>
                </c:pt>
                <c:pt idx="392">
                  <c:v>317.60000000000002</c:v>
                </c:pt>
                <c:pt idx="393">
                  <c:v>323.14999999999998</c:v>
                </c:pt>
                <c:pt idx="394">
                  <c:v>328.85</c:v>
                </c:pt>
                <c:pt idx="395">
                  <c:v>327.14999999999998</c:v>
                </c:pt>
                <c:pt idx="396">
                  <c:v>326.10000000000002</c:v>
                </c:pt>
                <c:pt idx="397">
                  <c:v>329.9</c:v>
                </c:pt>
                <c:pt idx="398">
                  <c:v>330.5</c:v>
                </c:pt>
                <c:pt idx="399">
                  <c:v>330.9</c:v>
                </c:pt>
                <c:pt idx="400">
                  <c:v>334.4</c:v>
                </c:pt>
                <c:pt idx="401">
                  <c:v>335.35</c:v>
                </c:pt>
                <c:pt idx="402">
                  <c:v>334.1</c:v>
                </c:pt>
                <c:pt idx="403">
                  <c:v>331.3</c:v>
                </c:pt>
                <c:pt idx="404">
                  <c:v>335.6</c:v>
                </c:pt>
                <c:pt idx="405">
                  <c:v>336</c:v>
                </c:pt>
                <c:pt idx="406">
                  <c:v>340.95</c:v>
                </c:pt>
                <c:pt idx="407">
                  <c:v>345.05</c:v>
                </c:pt>
                <c:pt idx="408">
                  <c:v>346.4</c:v>
                </c:pt>
                <c:pt idx="409">
                  <c:v>332.6</c:v>
                </c:pt>
                <c:pt idx="410">
                  <c:v>334.85</c:v>
                </c:pt>
                <c:pt idx="411">
                  <c:v>324.95</c:v>
                </c:pt>
                <c:pt idx="412">
                  <c:v>333.05</c:v>
                </c:pt>
                <c:pt idx="413">
                  <c:v>332.2</c:v>
                </c:pt>
                <c:pt idx="414">
                  <c:v>324.39999999999998</c:v>
                </c:pt>
                <c:pt idx="415">
                  <c:v>332.85</c:v>
                </c:pt>
                <c:pt idx="416">
                  <c:v>336.65</c:v>
                </c:pt>
                <c:pt idx="417">
                  <c:v>334.1</c:v>
                </c:pt>
                <c:pt idx="418">
                  <c:v>327.85</c:v>
                </c:pt>
                <c:pt idx="419">
                  <c:v>326.3</c:v>
                </c:pt>
                <c:pt idx="420">
                  <c:v>330.1</c:v>
                </c:pt>
                <c:pt idx="421">
                  <c:v>328.65</c:v>
                </c:pt>
                <c:pt idx="422">
                  <c:v>332.1</c:v>
                </c:pt>
                <c:pt idx="423">
                  <c:v>332.25</c:v>
                </c:pt>
                <c:pt idx="424">
                  <c:v>340.3</c:v>
                </c:pt>
                <c:pt idx="425">
                  <c:v>346.35</c:v>
                </c:pt>
                <c:pt idx="426">
                  <c:v>349.7</c:v>
                </c:pt>
                <c:pt idx="427">
                  <c:v>345.6</c:v>
                </c:pt>
                <c:pt idx="428">
                  <c:v>346.3</c:v>
                </c:pt>
                <c:pt idx="429">
                  <c:v>345.8</c:v>
                </c:pt>
                <c:pt idx="430">
                  <c:v>345.8</c:v>
                </c:pt>
                <c:pt idx="431">
                  <c:v>348.7</c:v>
                </c:pt>
                <c:pt idx="432">
                  <c:v>349.5</c:v>
                </c:pt>
                <c:pt idx="433">
                  <c:v>354.65</c:v>
                </c:pt>
                <c:pt idx="434">
                  <c:v>353.7</c:v>
                </c:pt>
                <c:pt idx="435">
                  <c:v>353.6</c:v>
                </c:pt>
                <c:pt idx="436">
                  <c:v>353.5</c:v>
                </c:pt>
                <c:pt idx="437">
                  <c:v>360.7</c:v>
                </c:pt>
                <c:pt idx="438">
                  <c:v>356</c:v>
                </c:pt>
                <c:pt idx="439">
                  <c:v>356.35</c:v>
                </c:pt>
                <c:pt idx="440">
                  <c:v>347.2</c:v>
                </c:pt>
                <c:pt idx="441">
                  <c:v>345.25</c:v>
                </c:pt>
                <c:pt idx="442">
                  <c:v>344.1</c:v>
                </c:pt>
                <c:pt idx="443">
                  <c:v>343.7</c:v>
                </c:pt>
                <c:pt idx="444">
                  <c:v>341.05</c:v>
                </c:pt>
                <c:pt idx="445">
                  <c:v>337.2</c:v>
                </c:pt>
                <c:pt idx="446">
                  <c:v>340.25</c:v>
                </c:pt>
                <c:pt idx="447">
                  <c:v>339.8</c:v>
                </c:pt>
                <c:pt idx="448">
                  <c:v>340.75</c:v>
                </c:pt>
                <c:pt idx="449">
                  <c:v>340.3</c:v>
                </c:pt>
                <c:pt idx="450">
                  <c:v>340.05</c:v>
                </c:pt>
                <c:pt idx="451">
                  <c:v>342.3</c:v>
                </c:pt>
                <c:pt idx="452">
                  <c:v>340</c:v>
                </c:pt>
                <c:pt idx="453">
                  <c:v>339.55</c:v>
                </c:pt>
                <c:pt idx="454">
                  <c:v>337.15</c:v>
                </c:pt>
                <c:pt idx="455">
                  <c:v>336.75</c:v>
                </c:pt>
                <c:pt idx="456">
                  <c:v>337.3</c:v>
                </c:pt>
                <c:pt idx="457">
                  <c:v>340.1</c:v>
                </c:pt>
                <c:pt idx="458">
                  <c:v>338.4</c:v>
                </c:pt>
                <c:pt idx="459">
                  <c:v>341.4</c:v>
                </c:pt>
                <c:pt idx="460">
                  <c:v>343.2</c:v>
                </c:pt>
                <c:pt idx="461">
                  <c:v>345.6</c:v>
                </c:pt>
                <c:pt idx="462">
                  <c:v>345.4</c:v>
                </c:pt>
                <c:pt idx="463">
                  <c:v>338.85</c:v>
                </c:pt>
                <c:pt idx="464">
                  <c:v>335.1</c:v>
                </c:pt>
                <c:pt idx="465">
                  <c:v>340.5</c:v>
                </c:pt>
                <c:pt idx="466">
                  <c:v>340.15</c:v>
                </c:pt>
                <c:pt idx="467">
                  <c:v>335.15</c:v>
                </c:pt>
                <c:pt idx="468">
                  <c:v>332.45</c:v>
                </c:pt>
                <c:pt idx="469">
                  <c:v>326.7</c:v>
                </c:pt>
                <c:pt idx="470">
                  <c:v>334.6</c:v>
                </c:pt>
                <c:pt idx="471">
                  <c:v>333.15</c:v>
                </c:pt>
                <c:pt idx="472">
                  <c:v>334.4</c:v>
                </c:pt>
                <c:pt idx="473">
                  <c:v>335.35</c:v>
                </c:pt>
                <c:pt idx="474">
                  <c:v>331.55</c:v>
                </c:pt>
                <c:pt idx="475">
                  <c:v>332.85</c:v>
                </c:pt>
                <c:pt idx="476">
                  <c:v>331.1</c:v>
                </c:pt>
                <c:pt idx="477">
                  <c:v>327</c:v>
                </c:pt>
                <c:pt idx="478">
                  <c:v>333.45</c:v>
                </c:pt>
                <c:pt idx="479">
                  <c:v>335.05</c:v>
                </c:pt>
                <c:pt idx="480">
                  <c:v>338.05</c:v>
                </c:pt>
                <c:pt idx="481">
                  <c:v>333.4</c:v>
                </c:pt>
                <c:pt idx="482">
                  <c:v>331.8</c:v>
                </c:pt>
                <c:pt idx="483">
                  <c:v>329.85</c:v>
                </c:pt>
                <c:pt idx="484">
                  <c:v>328.75</c:v>
                </c:pt>
                <c:pt idx="485">
                  <c:v>330.2</c:v>
                </c:pt>
                <c:pt idx="486">
                  <c:v>332.25</c:v>
                </c:pt>
                <c:pt idx="487">
                  <c:v>334.65</c:v>
                </c:pt>
                <c:pt idx="488">
                  <c:v>332.15</c:v>
                </c:pt>
                <c:pt idx="489">
                  <c:v>334.6</c:v>
                </c:pt>
                <c:pt idx="490">
                  <c:v>337.75</c:v>
                </c:pt>
                <c:pt idx="491">
                  <c:v>338.95</c:v>
                </c:pt>
                <c:pt idx="492">
                  <c:v>339.25</c:v>
                </c:pt>
                <c:pt idx="493">
                  <c:v>346</c:v>
                </c:pt>
                <c:pt idx="494">
                  <c:v>344.8</c:v>
                </c:pt>
                <c:pt idx="495">
                  <c:v>352.35</c:v>
                </c:pt>
                <c:pt idx="496">
                  <c:v>361.4</c:v>
                </c:pt>
                <c:pt idx="497">
                  <c:v>378.6</c:v>
                </c:pt>
                <c:pt idx="498">
                  <c:v>380.65</c:v>
                </c:pt>
                <c:pt idx="499">
                  <c:v>383.4</c:v>
                </c:pt>
                <c:pt idx="500">
                  <c:v>373.25</c:v>
                </c:pt>
                <c:pt idx="501">
                  <c:v>375.55</c:v>
                </c:pt>
                <c:pt idx="502">
                  <c:v>374.25</c:v>
                </c:pt>
                <c:pt idx="503">
                  <c:v>371.35</c:v>
                </c:pt>
                <c:pt idx="504">
                  <c:v>374.2</c:v>
                </c:pt>
                <c:pt idx="505">
                  <c:v>386.45</c:v>
                </c:pt>
                <c:pt idx="506">
                  <c:v>382.2</c:v>
                </c:pt>
                <c:pt idx="507">
                  <c:v>382.55</c:v>
                </c:pt>
                <c:pt idx="508">
                  <c:v>383.4</c:v>
                </c:pt>
                <c:pt idx="509">
                  <c:v>384.05</c:v>
                </c:pt>
                <c:pt idx="510">
                  <c:v>382.25</c:v>
                </c:pt>
                <c:pt idx="511">
                  <c:v>383.85</c:v>
                </c:pt>
                <c:pt idx="512">
                  <c:v>387.6</c:v>
                </c:pt>
                <c:pt idx="513">
                  <c:v>385.1</c:v>
                </c:pt>
                <c:pt idx="514">
                  <c:v>382.2</c:v>
                </c:pt>
                <c:pt idx="515">
                  <c:v>376.7</c:v>
                </c:pt>
                <c:pt idx="516">
                  <c:v>378.7</c:v>
                </c:pt>
                <c:pt idx="517">
                  <c:v>375.55</c:v>
                </c:pt>
                <c:pt idx="518">
                  <c:v>384.95</c:v>
                </c:pt>
                <c:pt idx="519">
                  <c:v>388.15</c:v>
                </c:pt>
                <c:pt idx="520">
                  <c:v>392.4</c:v>
                </c:pt>
                <c:pt idx="521">
                  <c:v>387.5</c:v>
                </c:pt>
                <c:pt idx="522">
                  <c:v>388</c:v>
                </c:pt>
                <c:pt idx="523">
                  <c:v>383.65</c:v>
                </c:pt>
                <c:pt idx="524">
                  <c:v>379.7</c:v>
                </c:pt>
                <c:pt idx="525">
                  <c:v>379.4</c:v>
                </c:pt>
                <c:pt idx="526">
                  <c:v>381.45</c:v>
                </c:pt>
                <c:pt idx="527">
                  <c:v>375.55</c:v>
                </c:pt>
                <c:pt idx="528">
                  <c:v>378.8</c:v>
                </c:pt>
                <c:pt idx="529">
                  <c:v>376.95</c:v>
                </c:pt>
                <c:pt idx="530">
                  <c:v>377.75</c:v>
                </c:pt>
                <c:pt idx="531">
                  <c:v>380.65</c:v>
                </c:pt>
                <c:pt idx="532">
                  <c:v>378.7</c:v>
                </c:pt>
                <c:pt idx="533">
                  <c:v>380.2</c:v>
                </c:pt>
                <c:pt idx="534">
                  <c:v>379.75</c:v>
                </c:pt>
                <c:pt idx="535">
                  <c:v>382.75</c:v>
                </c:pt>
                <c:pt idx="536">
                  <c:v>383.5</c:v>
                </c:pt>
                <c:pt idx="537">
                  <c:v>378.9</c:v>
                </c:pt>
                <c:pt idx="538">
                  <c:v>386.4</c:v>
                </c:pt>
                <c:pt idx="539">
                  <c:v>387.35</c:v>
                </c:pt>
                <c:pt idx="540">
                  <c:v>388.55</c:v>
                </c:pt>
                <c:pt idx="541">
                  <c:v>396</c:v>
                </c:pt>
                <c:pt idx="542">
                  <c:v>393.55</c:v>
                </c:pt>
                <c:pt idx="543">
                  <c:v>395.6</c:v>
                </c:pt>
                <c:pt idx="544">
                  <c:v>400.15</c:v>
                </c:pt>
                <c:pt idx="545">
                  <c:v>398.5</c:v>
                </c:pt>
                <c:pt idx="546">
                  <c:v>398.75</c:v>
                </c:pt>
                <c:pt idx="547">
                  <c:v>400.3</c:v>
                </c:pt>
                <c:pt idx="548">
                  <c:v>408.25</c:v>
                </c:pt>
                <c:pt idx="549">
                  <c:v>408.7</c:v>
                </c:pt>
                <c:pt idx="550">
                  <c:v>411.55</c:v>
                </c:pt>
                <c:pt idx="551">
                  <c:v>412.25</c:v>
                </c:pt>
                <c:pt idx="552">
                  <c:v>416</c:v>
                </c:pt>
                <c:pt idx="553">
                  <c:v>425.55</c:v>
                </c:pt>
                <c:pt idx="554">
                  <c:v>424.45</c:v>
                </c:pt>
                <c:pt idx="555">
                  <c:v>427.15</c:v>
                </c:pt>
                <c:pt idx="556">
                  <c:v>424.6</c:v>
                </c:pt>
                <c:pt idx="557">
                  <c:v>428.75</c:v>
                </c:pt>
                <c:pt idx="558">
                  <c:v>431.45</c:v>
                </c:pt>
                <c:pt idx="559">
                  <c:v>423.8</c:v>
                </c:pt>
                <c:pt idx="560">
                  <c:v>425.35</c:v>
                </c:pt>
                <c:pt idx="561">
                  <c:v>420.4</c:v>
                </c:pt>
                <c:pt idx="562">
                  <c:v>420.45</c:v>
                </c:pt>
                <c:pt idx="563">
                  <c:v>427.8</c:v>
                </c:pt>
                <c:pt idx="564">
                  <c:v>423.95</c:v>
                </c:pt>
                <c:pt idx="565">
                  <c:v>427.6</c:v>
                </c:pt>
                <c:pt idx="566">
                  <c:v>419.7</c:v>
                </c:pt>
                <c:pt idx="567">
                  <c:v>419.85</c:v>
                </c:pt>
                <c:pt idx="568">
                  <c:v>424.75</c:v>
                </c:pt>
                <c:pt idx="569">
                  <c:v>429.15</c:v>
                </c:pt>
                <c:pt idx="570">
                  <c:v>433.5</c:v>
                </c:pt>
                <c:pt idx="571">
                  <c:v>441.15</c:v>
                </c:pt>
                <c:pt idx="572">
                  <c:v>443.6</c:v>
                </c:pt>
                <c:pt idx="573">
                  <c:v>449.1</c:v>
                </c:pt>
                <c:pt idx="574">
                  <c:v>449.9</c:v>
                </c:pt>
                <c:pt idx="575">
                  <c:v>445.5</c:v>
                </c:pt>
                <c:pt idx="576">
                  <c:v>439.7</c:v>
                </c:pt>
                <c:pt idx="577">
                  <c:v>443.4</c:v>
                </c:pt>
                <c:pt idx="578">
                  <c:v>440.65</c:v>
                </c:pt>
                <c:pt idx="579">
                  <c:v>442.8</c:v>
                </c:pt>
                <c:pt idx="580">
                  <c:v>443.95</c:v>
                </c:pt>
                <c:pt idx="581">
                  <c:v>442.9</c:v>
                </c:pt>
                <c:pt idx="582">
                  <c:v>438.45</c:v>
                </c:pt>
                <c:pt idx="583">
                  <c:v>436.95</c:v>
                </c:pt>
                <c:pt idx="584">
                  <c:v>445.4</c:v>
                </c:pt>
                <c:pt idx="585">
                  <c:v>444.5</c:v>
                </c:pt>
                <c:pt idx="586">
                  <c:v>448.1</c:v>
                </c:pt>
                <c:pt idx="587">
                  <c:v>453.1</c:v>
                </c:pt>
                <c:pt idx="588">
                  <c:v>453.6</c:v>
                </c:pt>
                <c:pt idx="589">
                  <c:v>452.85</c:v>
                </c:pt>
                <c:pt idx="590">
                  <c:v>447.05</c:v>
                </c:pt>
                <c:pt idx="591">
                  <c:v>447.65</c:v>
                </c:pt>
                <c:pt idx="592">
                  <c:v>444.75</c:v>
                </c:pt>
                <c:pt idx="593">
                  <c:v>445.7</c:v>
                </c:pt>
                <c:pt idx="594">
                  <c:v>445.1</c:v>
                </c:pt>
                <c:pt idx="595">
                  <c:v>449.35</c:v>
                </c:pt>
                <c:pt idx="596">
                  <c:v>451.6</c:v>
                </c:pt>
                <c:pt idx="597">
                  <c:v>463.25</c:v>
                </c:pt>
                <c:pt idx="598">
                  <c:v>466.35</c:v>
                </c:pt>
                <c:pt idx="599">
                  <c:v>475.1</c:v>
                </c:pt>
                <c:pt idx="600">
                  <c:v>473.9</c:v>
                </c:pt>
                <c:pt idx="601">
                  <c:v>468.4</c:v>
                </c:pt>
                <c:pt idx="602">
                  <c:v>465.85</c:v>
                </c:pt>
                <c:pt idx="603">
                  <c:v>473.15</c:v>
                </c:pt>
                <c:pt idx="604">
                  <c:v>472.3</c:v>
                </c:pt>
                <c:pt idx="605">
                  <c:v>472</c:v>
                </c:pt>
                <c:pt idx="606">
                  <c:v>472.9</c:v>
                </c:pt>
                <c:pt idx="607">
                  <c:v>472.35</c:v>
                </c:pt>
                <c:pt idx="608">
                  <c:v>472.5</c:v>
                </c:pt>
                <c:pt idx="609">
                  <c:v>478.85</c:v>
                </c:pt>
                <c:pt idx="610">
                  <c:v>492.15</c:v>
                </c:pt>
                <c:pt idx="611">
                  <c:v>490.45</c:v>
                </c:pt>
                <c:pt idx="612">
                  <c:v>471.35</c:v>
                </c:pt>
                <c:pt idx="613">
                  <c:v>462.3</c:v>
                </c:pt>
                <c:pt idx="614">
                  <c:v>472.25</c:v>
                </c:pt>
                <c:pt idx="615">
                  <c:v>465.05</c:v>
                </c:pt>
                <c:pt idx="616">
                  <c:v>468.45</c:v>
                </c:pt>
                <c:pt idx="617">
                  <c:v>465.7</c:v>
                </c:pt>
                <c:pt idx="618">
                  <c:v>464.8</c:v>
                </c:pt>
                <c:pt idx="619">
                  <c:v>460.1</c:v>
                </c:pt>
                <c:pt idx="620">
                  <c:v>456.05</c:v>
                </c:pt>
                <c:pt idx="621">
                  <c:v>454.95</c:v>
                </c:pt>
                <c:pt idx="622">
                  <c:v>454.9</c:v>
                </c:pt>
                <c:pt idx="623">
                  <c:v>452.35</c:v>
                </c:pt>
                <c:pt idx="624">
                  <c:v>458.65</c:v>
                </c:pt>
                <c:pt idx="625">
                  <c:v>451.75</c:v>
                </c:pt>
                <c:pt idx="626">
                  <c:v>448.75</c:v>
                </c:pt>
                <c:pt idx="627">
                  <c:v>449.2</c:v>
                </c:pt>
                <c:pt idx="628">
                  <c:v>450.25</c:v>
                </c:pt>
                <c:pt idx="629">
                  <c:v>441</c:v>
                </c:pt>
                <c:pt idx="630">
                  <c:v>441.65</c:v>
                </c:pt>
                <c:pt idx="631">
                  <c:v>447.8</c:v>
                </c:pt>
                <c:pt idx="632">
                  <c:v>454.25</c:v>
                </c:pt>
                <c:pt idx="633">
                  <c:v>450.45</c:v>
                </c:pt>
                <c:pt idx="634">
                  <c:v>450.9</c:v>
                </c:pt>
                <c:pt idx="635">
                  <c:v>443.35</c:v>
                </c:pt>
                <c:pt idx="636">
                  <c:v>441.4</c:v>
                </c:pt>
                <c:pt idx="637">
                  <c:v>440.1</c:v>
                </c:pt>
                <c:pt idx="638">
                  <c:v>442.8</c:v>
                </c:pt>
                <c:pt idx="639">
                  <c:v>439.7</c:v>
                </c:pt>
                <c:pt idx="640">
                  <c:v>441.05</c:v>
                </c:pt>
                <c:pt idx="641">
                  <c:v>437.5</c:v>
                </c:pt>
                <c:pt idx="642">
                  <c:v>443.1</c:v>
                </c:pt>
                <c:pt idx="643">
                  <c:v>447.45</c:v>
                </c:pt>
                <c:pt idx="644">
                  <c:v>445.9</c:v>
                </c:pt>
                <c:pt idx="645">
                  <c:v>442.65</c:v>
                </c:pt>
                <c:pt idx="646">
                  <c:v>447.2</c:v>
                </c:pt>
                <c:pt idx="647">
                  <c:v>451.15</c:v>
                </c:pt>
                <c:pt idx="648">
                  <c:v>453.5</c:v>
                </c:pt>
                <c:pt idx="649">
                  <c:v>449.95</c:v>
                </c:pt>
                <c:pt idx="650">
                  <c:v>448.35</c:v>
                </c:pt>
                <c:pt idx="651">
                  <c:v>452.05</c:v>
                </c:pt>
                <c:pt idx="652">
                  <c:v>452.95</c:v>
                </c:pt>
                <c:pt idx="653">
                  <c:v>447.5</c:v>
                </c:pt>
                <c:pt idx="654">
                  <c:v>443.1</c:v>
                </c:pt>
                <c:pt idx="655">
                  <c:v>442.6</c:v>
                </c:pt>
                <c:pt idx="656">
                  <c:v>442.45</c:v>
                </c:pt>
                <c:pt idx="657">
                  <c:v>449.15</c:v>
                </c:pt>
                <c:pt idx="658">
                  <c:v>440.75</c:v>
                </c:pt>
                <c:pt idx="659">
                  <c:v>444.4</c:v>
                </c:pt>
                <c:pt idx="660">
                  <c:v>439.75</c:v>
                </c:pt>
                <c:pt idx="661">
                  <c:v>436.1</c:v>
                </c:pt>
                <c:pt idx="662">
                  <c:v>436.05</c:v>
                </c:pt>
                <c:pt idx="663">
                  <c:v>442.15</c:v>
                </c:pt>
                <c:pt idx="664">
                  <c:v>440.45</c:v>
                </c:pt>
                <c:pt idx="665">
                  <c:v>444.4</c:v>
                </c:pt>
                <c:pt idx="666">
                  <c:v>448.25</c:v>
                </c:pt>
                <c:pt idx="667">
                  <c:v>450.7</c:v>
                </c:pt>
                <c:pt idx="668">
                  <c:v>448.35</c:v>
                </c:pt>
                <c:pt idx="669">
                  <c:v>448.95</c:v>
                </c:pt>
                <c:pt idx="670">
                  <c:v>453.45</c:v>
                </c:pt>
                <c:pt idx="671">
                  <c:v>451.65</c:v>
                </c:pt>
                <c:pt idx="672">
                  <c:v>450.4</c:v>
                </c:pt>
                <c:pt idx="673">
                  <c:v>438.3</c:v>
                </c:pt>
                <c:pt idx="674">
                  <c:v>435.9</c:v>
                </c:pt>
                <c:pt idx="675">
                  <c:v>432.7</c:v>
                </c:pt>
                <c:pt idx="676">
                  <c:v>434.35</c:v>
                </c:pt>
                <c:pt idx="677">
                  <c:v>433.75</c:v>
                </c:pt>
                <c:pt idx="678">
                  <c:v>430.45</c:v>
                </c:pt>
                <c:pt idx="679">
                  <c:v>428.4</c:v>
                </c:pt>
                <c:pt idx="680">
                  <c:v>428.1</c:v>
                </c:pt>
                <c:pt idx="681">
                  <c:v>431.15</c:v>
                </c:pt>
                <c:pt idx="682">
                  <c:v>433.25</c:v>
                </c:pt>
                <c:pt idx="683">
                  <c:v>435.35</c:v>
                </c:pt>
                <c:pt idx="684">
                  <c:v>432.7</c:v>
                </c:pt>
                <c:pt idx="685">
                  <c:v>436.95</c:v>
                </c:pt>
                <c:pt idx="686">
                  <c:v>434.4</c:v>
                </c:pt>
                <c:pt idx="687">
                  <c:v>436.55</c:v>
                </c:pt>
                <c:pt idx="688">
                  <c:v>436</c:v>
                </c:pt>
                <c:pt idx="689">
                  <c:v>441.95</c:v>
                </c:pt>
                <c:pt idx="690">
                  <c:v>438.65</c:v>
                </c:pt>
                <c:pt idx="691">
                  <c:v>439.25</c:v>
                </c:pt>
                <c:pt idx="692">
                  <c:v>436.8</c:v>
                </c:pt>
                <c:pt idx="693">
                  <c:v>436.25</c:v>
                </c:pt>
                <c:pt idx="694">
                  <c:v>439.7</c:v>
                </c:pt>
                <c:pt idx="695">
                  <c:v>440.35</c:v>
                </c:pt>
                <c:pt idx="696">
                  <c:v>437.8</c:v>
                </c:pt>
                <c:pt idx="697">
                  <c:v>435.25</c:v>
                </c:pt>
                <c:pt idx="698">
                  <c:v>437.2</c:v>
                </c:pt>
                <c:pt idx="699">
                  <c:v>435.8</c:v>
                </c:pt>
                <c:pt idx="700">
                  <c:v>449.8</c:v>
                </c:pt>
                <c:pt idx="701">
                  <c:v>454.05</c:v>
                </c:pt>
                <c:pt idx="702">
                  <c:v>451.75</c:v>
                </c:pt>
                <c:pt idx="703">
                  <c:v>463.25</c:v>
                </c:pt>
                <c:pt idx="704">
                  <c:v>458.1</c:v>
                </c:pt>
                <c:pt idx="705">
                  <c:v>449.15</c:v>
                </c:pt>
                <c:pt idx="706">
                  <c:v>452.45</c:v>
                </c:pt>
                <c:pt idx="707">
                  <c:v>453.1</c:v>
                </c:pt>
                <c:pt idx="708">
                  <c:v>455.65</c:v>
                </c:pt>
                <c:pt idx="709">
                  <c:v>460.1</c:v>
                </c:pt>
                <c:pt idx="710">
                  <c:v>458.2</c:v>
                </c:pt>
                <c:pt idx="711">
                  <c:v>451.65</c:v>
                </c:pt>
                <c:pt idx="712">
                  <c:v>456.1</c:v>
                </c:pt>
                <c:pt idx="713">
                  <c:v>451</c:v>
                </c:pt>
                <c:pt idx="714">
                  <c:v>451.45</c:v>
                </c:pt>
                <c:pt idx="715">
                  <c:v>455.2</c:v>
                </c:pt>
                <c:pt idx="716">
                  <c:v>456.45</c:v>
                </c:pt>
                <c:pt idx="717">
                  <c:v>457.1</c:v>
                </c:pt>
                <c:pt idx="718">
                  <c:v>464.1</c:v>
                </c:pt>
                <c:pt idx="719">
                  <c:v>462.1</c:v>
                </c:pt>
                <c:pt idx="720">
                  <c:v>468.05</c:v>
                </c:pt>
                <c:pt idx="721">
                  <c:v>470.35</c:v>
                </c:pt>
                <c:pt idx="722">
                  <c:v>477.25</c:v>
                </c:pt>
                <c:pt idx="723">
                  <c:v>476.4</c:v>
                </c:pt>
                <c:pt idx="724">
                  <c:v>473.95</c:v>
                </c:pt>
                <c:pt idx="725">
                  <c:v>465.5</c:v>
                </c:pt>
                <c:pt idx="726">
                  <c:v>464.55</c:v>
                </c:pt>
                <c:pt idx="727">
                  <c:v>463.3</c:v>
                </c:pt>
                <c:pt idx="728">
                  <c:v>462.65</c:v>
                </c:pt>
                <c:pt idx="729">
                  <c:v>466.7</c:v>
                </c:pt>
                <c:pt idx="730">
                  <c:v>467.6</c:v>
                </c:pt>
                <c:pt idx="731">
                  <c:v>472.3</c:v>
                </c:pt>
                <c:pt idx="732">
                  <c:v>466.6</c:v>
                </c:pt>
                <c:pt idx="733">
                  <c:v>465.5</c:v>
                </c:pt>
                <c:pt idx="734">
                  <c:v>471.5</c:v>
                </c:pt>
                <c:pt idx="735">
                  <c:v>459.3</c:v>
                </c:pt>
                <c:pt idx="736">
                  <c:v>463.6</c:v>
                </c:pt>
                <c:pt idx="737">
                  <c:v>455.65</c:v>
                </c:pt>
                <c:pt idx="738">
                  <c:v>449.8</c:v>
                </c:pt>
                <c:pt idx="739">
                  <c:v>438.05</c:v>
                </c:pt>
                <c:pt idx="740">
                  <c:v>441.55</c:v>
                </c:pt>
                <c:pt idx="741">
                  <c:v>442.9</c:v>
                </c:pt>
                <c:pt idx="742">
                  <c:v>440.1</c:v>
                </c:pt>
                <c:pt idx="743">
                  <c:v>438.05</c:v>
                </c:pt>
                <c:pt idx="744">
                  <c:v>431.4</c:v>
                </c:pt>
                <c:pt idx="745">
                  <c:v>431.8</c:v>
                </c:pt>
                <c:pt idx="746">
                  <c:v>414.55</c:v>
                </c:pt>
                <c:pt idx="747">
                  <c:v>415.5</c:v>
                </c:pt>
                <c:pt idx="748">
                  <c:v>406.85</c:v>
                </c:pt>
                <c:pt idx="749">
                  <c:v>406.75</c:v>
                </c:pt>
                <c:pt idx="750">
                  <c:v>411.55</c:v>
                </c:pt>
                <c:pt idx="751">
                  <c:v>403.9</c:v>
                </c:pt>
                <c:pt idx="752">
                  <c:v>404.6</c:v>
                </c:pt>
                <c:pt idx="753">
                  <c:v>409.25</c:v>
                </c:pt>
                <c:pt idx="754">
                  <c:v>406.1</c:v>
                </c:pt>
                <c:pt idx="755">
                  <c:v>403.35</c:v>
                </c:pt>
                <c:pt idx="756">
                  <c:v>414.45</c:v>
                </c:pt>
                <c:pt idx="757">
                  <c:v>411.4</c:v>
                </c:pt>
                <c:pt idx="758">
                  <c:v>409.2</c:v>
                </c:pt>
                <c:pt idx="759">
                  <c:v>411.15</c:v>
                </c:pt>
                <c:pt idx="760">
                  <c:v>408.3</c:v>
                </c:pt>
                <c:pt idx="761">
                  <c:v>406.3</c:v>
                </c:pt>
                <c:pt idx="762">
                  <c:v>409.5</c:v>
                </c:pt>
                <c:pt idx="763">
                  <c:v>409.1</c:v>
                </c:pt>
                <c:pt idx="764">
                  <c:v>406.15</c:v>
                </c:pt>
                <c:pt idx="765">
                  <c:v>407.85</c:v>
                </c:pt>
                <c:pt idx="766">
                  <c:v>413.55</c:v>
                </c:pt>
                <c:pt idx="767">
                  <c:v>409.4</c:v>
                </c:pt>
                <c:pt idx="768">
                  <c:v>404.45</c:v>
                </c:pt>
                <c:pt idx="769">
                  <c:v>422.45</c:v>
                </c:pt>
                <c:pt idx="770">
                  <c:v>419.65</c:v>
                </c:pt>
                <c:pt idx="771">
                  <c:v>419.1</c:v>
                </c:pt>
                <c:pt idx="772">
                  <c:v>417.45</c:v>
                </c:pt>
                <c:pt idx="773">
                  <c:v>409.55</c:v>
                </c:pt>
                <c:pt idx="774">
                  <c:v>415.7</c:v>
                </c:pt>
                <c:pt idx="775">
                  <c:v>421.25</c:v>
                </c:pt>
                <c:pt idx="776">
                  <c:v>428.6</c:v>
                </c:pt>
                <c:pt idx="777">
                  <c:v>427.65</c:v>
                </c:pt>
                <c:pt idx="778">
                  <c:v>428</c:v>
                </c:pt>
                <c:pt idx="779">
                  <c:v>428.35</c:v>
                </c:pt>
                <c:pt idx="780">
                  <c:v>426.7</c:v>
                </c:pt>
                <c:pt idx="781">
                  <c:v>425.85</c:v>
                </c:pt>
                <c:pt idx="782">
                  <c:v>425.2</c:v>
                </c:pt>
                <c:pt idx="783">
                  <c:v>422.75</c:v>
                </c:pt>
                <c:pt idx="784">
                  <c:v>427.55</c:v>
                </c:pt>
                <c:pt idx="785">
                  <c:v>429.1</c:v>
                </c:pt>
                <c:pt idx="786">
                  <c:v>426.35</c:v>
                </c:pt>
                <c:pt idx="787">
                  <c:v>436.95</c:v>
                </c:pt>
                <c:pt idx="788">
                  <c:v>430.1</c:v>
                </c:pt>
                <c:pt idx="789">
                  <c:v>425.9</c:v>
                </c:pt>
                <c:pt idx="790">
                  <c:v>425.9</c:v>
                </c:pt>
                <c:pt idx="791">
                  <c:v>418.85</c:v>
                </c:pt>
                <c:pt idx="792">
                  <c:v>424.75</c:v>
                </c:pt>
                <c:pt idx="793">
                  <c:v>425.3</c:v>
                </c:pt>
                <c:pt idx="794">
                  <c:v>429.2</c:v>
                </c:pt>
                <c:pt idx="795">
                  <c:v>428.9</c:v>
                </c:pt>
                <c:pt idx="796">
                  <c:v>437.55</c:v>
                </c:pt>
                <c:pt idx="797">
                  <c:v>440</c:v>
                </c:pt>
                <c:pt idx="798">
                  <c:v>438.2</c:v>
                </c:pt>
                <c:pt idx="799">
                  <c:v>435.65</c:v>
                </c:pt>
                <c:pt idx="800">
                  <c:v>439</c:v>
                </c:pt>
                <c:pt idx="801">
                  <c:v>436.45</c:v>
                </c:pt>
                <c:pt idx="802">
                  <c:v>434.75</c:v>
                </c:pt>
                <c:pt idx="803">
                  <c:v>440.35</c:v>
                </c:pt>
                <c:pt idx="804">
                  <c:v>441</c:v>
                </c:pt>
                <c:pt idx="805">
                  <c:v>425.1</c:v>
                </c:pt>
                <c:pt idx="806">
                  <c:v>433.35</c:v>
                </c:pt>
                <c:pt idx="807">
                  <c:v>431.85</c:v>
                </c:pt>
                <c:pt idx="808">
                  <c:v>429.7</c:v>
                </c:pt>
                <c:pt idx="809">
                  <c:v>427.8</c:v>
                </c:pt>
                <c:pt idx="810">
                  <c:v>431.45</c:v>
                </c:pt>
                <c:pt idx="811">
                  <c:v>436.3</c:v>
                </c:pt>
                <c:pt idx="812">
                  <c:v>434.8</c:v>
                </c:pt>
                <c:pt idx="813">
                  <c:v>439.9</c:v>
                </c:pt>
                <c:pt idx="814">
                  <c:v>441.35</c:v>
                </c:pt>
                <c:pt idx="815">
                  <c:v>436.2</c:v>
                </c:pt>
                <c:pt idx="816">
                  <c:v>431.5</c:v>
                </c:pt>
                <c:pt idx="817">
                  <c:v>429</c:v>
                </c:pt>
                <c:pt idx="818">
                  <c:v>430.95</c:v>
                </c:pt>
                <c:pt idx="819">
                  <c:v>423.85</c:v>
                </c:pt>
                <c:pt idx="820">
                  <c:v>426.45</c:v>
                </c:pt>
                <c:pt idx="821">
                  <c:v>430.35</c:v>
                </c:pt>
                <c:pt idx="822">
                  <c:v>415.2</c:v>
                </c:pt>
                <c:pt idx="823">
                  <c:v>430.3</c:v>
                </c:pt>
                <c:pt idx="824">
                  <c:v>435.4</c:v>
                </c:pt>
                <c:pt idx="825">
                  <c:v>439.15</c:v>
                </c:pt>
                <c:pt idx="826">
                  <c:v>436.9</c:v>
                </c:pt>
                <c:pt idx="827">
                  <c:v>433</c:v>
                </c:pt>
                <c:pt idx="828">
                  <c:v>432.3</c:v>
                </c:pt>
                <c:pt idx="829">
                  <c:v>430.3</c:v>
                </c:pt>
                <c:pt idx="830">
                  <c:v>431.15</c:v>
                </c:pt>
                <c:pt idx="831">
                  <c:v>428.75</c:v>
                </c:pt>
                <c:pt idx="832">
                  <c:v>423.65</c:v>
                </c:pt>
                <c:pt idx="833">
                  <c:v>423.3</c:v>
                </c:pt>
                <c:pt idx="834">
                  <c:v>419.6</c:v>
                </c:pt>
                <c:pt idx="835">
                  <c:v>423.3</c:v>
                </c:pt>
                <c:pt idx="836">
                  <c:v>423.3</c:v>
                </c:pt>
                <c:pt idx="837">
                  <c:v>423.95</c:v>
                </c:pt>
                <c:pt idx="838">
                  <c:v>425.6</c:v>
                </c:pt>
                <c:pt idx="839">
                  <c:v>424.9</c:v>
                </c:pt>
                <c:pt idx="840">
                  <c:v>429.05</c:v>
                </c:pt>
                <c:pt idx="841">
                  <c:v>425.5</c:v>
                </c:pt>
                <c:pt idx="842">
                  <c:v>428.3</c:v>
                </c:pt>
                <c:pt idx="843">
                  <c:v>429.05</c:v>
                </c:pt>
                <c:pt idx="844">
                  <c:v>433.65</c:v>
                </c:pt>
                <c:pt idx="845">
                  <c:v>443.6</c:v>
                </c:pt>
                <c:pt idx="846">
                  <c:v>452.6</c:v>
                </c:pt>
                <c:pt idx="847">
                  <c:v>451.45</c:v>
                </c:pt>
                <c:pt idx="848">
                  <c:v>458.65</c:v>
                </c:pt>
                <c:pt idx="849">
                  <c:v>459.05</c:v>
                </c:pt>
                <c:pt idx="850">
                  <c:v>463.4</c:v>
                </c:pt>
                <c:pt idx="851">
                  <c:v>465.55</c:v>
                </c:pt>
                <c:pt idx="852">
                  <c:v>470.25</c:v>
                </c:pt>
                <c:pt idx="853">
                  <c:v>474.55</c:v>
                </c:pt>
                <c:pt idx="854">
                  <c:v>466.55</c:v>
                </c:pt>
                <c:pt idx="855">
                  <c:v>492.2</c:v>
                </c:pt>
                <c:pt idx="856">
                  <c:v>494.05</c:v>
                </c:pt>
                <c:pt idx="857">
                  <c:v>489.95</c:v>
                </c:pt>
                <c:pt idx="858">
                  <c:v>502.2</c:v>
                </c:pt>
                <c:pt idx="859">
                  <c:v>496.05</c:v>
                </c:pt>
                <c:pt idx="860">
                  <c:v>489.9</c:v>
                </c:pt>
                <c:pt idx="861">
                  <c:v>495.35</c:v>
                </c:pt>
                <c:pt idx="862">
                  <c:v>493.7</c:v>
                </c:pt>
                <c:pt idx="863">
                  <c:v>489.1</c:v>
                </c:pt>
                <c:pt idx="864">
                  <c:v>486</c:v>
                </c:pt>
                <c:pt idx="865">
                  <c:v>486.3</c:v>
                </c:pt>
                <c:pt idx="866">
                  <c:v>492.65</c:v>
                </c:pt>
                <c:pt idx="867">
                  <c:v>494.75</c:v>
                </c:pt>
                <c:pt idx="868">
                  <c:v>495.9</c:v>
                </c:pt>
                <c:pt idx="869">
                  <c:v>494.6</c:v>
                </c:pt>
                <c:pt idx="870">
                  <c:v>490</c:v>
                </c:pt>
                <c:pt idx="871">
                  <c:v>492.2</c:v>
                </c:pt>
                <c:pt idx="872">
                  <c:v>502.65</c:v>
                </c:pt>
                <c:pt idx="873">
                  <c:v>501.45</c:v>
                </c:pt>
                <c:pt idx="874">
                  <c:v>498.8</c:v>
                </c:pt>
                <c:pt idx="875">
                  <c:v>505.4</c:v>
                </c:pt>
                <c:pt idx="876">
                  <c:v>504.55</c:v>
                </c:pt>
                <c:pt idx="877">
                  <c:v>505.8</c:v>
                </c:pt>
                <c:pt idx="878">
                  <c:v>505.7</c:v>
                </c:pt>
                <c:pt idx="879">
                  <c:v>500.6</c:v>
                </c:pt>
                <c:pt idx="880">
                  <c:v>497.3</c:v>
                </c:pt>
                <c:pt idx="881">
                  <c:v>505.1</c:v>
                </c:pt>
                <c:pt idx="882">
                  <c:v>501.9</c:v>
                </c:pt>
                <c:pt idx="883">
                  <c:v>510.05</c:v>
                </c:pt>
                <c:pt idx="884">
                  <c:v>509.4</c:v>
                </c:pt>
                <c:pt idx="885">
                  <c:v>506.35</c:v>
                </c:pt>
                <c:pt idx="886">
                  <c:v>511.2</c:v>
                </c:pt>
                <c:pt idx="887">
                  <c:v>501.7</c:v>
                </c:pt>
                <c:pt idx="888">
                  <c:v>511.75</c:v>
                </c:pt>
                <c:pt idx="889">
                  <c:v>513.6</c:v>
                </c:pt>
                <c:pt idx="890">
                  <c:v>514.35</c:v>
                </c:pt>
                <c:pt idx="891">
                  <c:v>519.5</c:v>
                </c:pt>
                <c:pt idx="892">
                  <c:v>513.85</c:v>
                </c:pt>
                <c:pt idx="893">
                  <c:v>511.1</c:v>
                </c:pt>
                <c:pt idx="894">
                  <c:v>507.75</c:v>
                </c:pt>
                <c:pt idx="895">
                  <c:v>507.35</c:v>
                </c:pt>
                <c:pt idx="896">
                  <c:v>508.25</c:v>
                </c:pt>
                <c:pt idx="897">
                  <c:v>514.4</c:v>
                </c:pt>
                <c:pt idx="898">
                  <c:v>516.95000000000005</c:v>
                </c:pt>
                <c:pt idx="899">
                  <c:v>515.25</c:v>
                </c:pt>
                <c:pt idx="900">
                  <c:v>517.54999999999995</c:v>
                </c:pt>
                <c:pt idx="901">
                  <c:v>522.75</c:v>
                </c:pt>
                <c:pt idx="902">
                  <c:v>522.70000000000005</c:v>
                </c:pt>
                <c:pt idx="903">
                  <c:v>518.15</c:v>
                </c:pt>
                <c:pt idx="904">
                  <c:v>516.20000000000005</c:v>
                </c:pt>
                <c:pt idx="905">
                  <c:v>512.75</c:v>
                </c:pt>
                <c:pt idx="906">
                  <c:v>503.55</c:v>
                </c:pt>
                <c:pt idx="907">
                  <c:v>510.2</c:v>
                </c:pt>
                <c:pt idx="908">
                  <c:v>507.95</c:v>
                </c:pt>
                <c:pt idx="909">
                  <c:v>491.7</c:v>
                </c:pt>
                <c:pt idx="910">
                  <c:v>492.05</c:v>
                </c:pt>
                <c:pt idx="911">
                  <c:v>488.2</c:v>
                </c:pt>
                <c:pt idx="912">
                  <c:v>496.95</c:v>
                </c:pt>
                <c:pt idx="913">
                  <c:v>498.55</c:v>
                </c:pt>
                <c:pt idx="914">
                  <c:v>493.2</c:v>
                </c:pt>
                <c:pt idx="915">
                  <c:v>488.9</c:v>
                </c:pt>
                <c:pt idx="916">
                  <c:v>486.7</c:v>
                </c:pt>
                <c:pt idx="917">
                  <c:v>483.65</c:v>
                </c:pt>
                <c:pt idx="918">
                  <c:v>481.8</c:v>
                </c:pt>
                <c:pt idx="919">
                  <c:v>480.35</c:v>
                </c:pt>
                <c:pt idx="920">
                  <c:v>471.7</c:v>
                </c:pt>
                <c:pt idx="921">
                  <c:v>482.3</c:v>
                </c:pt>
                <c:pt idx="922">
                  <c:v>484.15</c:v>
                </c:pt>
                <c:pt idx="923">
                  <c:v>487.95</c:v>
                </c:pt>
                <c:pt idx="924">
                  <c:v>491.55</c:v>
                </c:pt>
                <c:pt idx="925">
                  <c:v>488.8</c:v>
                </c:pt>
                <c:pt idx="926">
                  <c:v>484.6</c:v>
                </c:pt>
                <c:pt idx="927">
                  <c:v>480.2</c:v>
                </c:pt>
                <c:pt idx="928">
                  <c:v>481.1</c:v>
                </c:pt>
                <c:pt idx="929">
                  <c:v>477.9</c:v>
                </c:pt>
                <c:pt idx="930">
                  <c:v>478.05</c:v>
                </c:pt>
                <c:pt idx="931">
                  <c:v>476.95</c:v>
                </c:pt>
                <c:pt idx="932">
                  <c:v>472.85</c:v>
                </c:pt>
                <c:pt idx="933">
                  <c:v>472.2</c:v>
                </c:pt>
                <c:pt idx="934">
                  <c:v>465.95</c:v>
                </c:pt>
                <c:pt idx="935">
                  <c:v>466.55</c:v>
                </c:pt>
                <c:pt idx="936">
                  <c:v>467.35</c:v>
                </c:pt>
                <c:pt idx="937">
                  <c:v>457.15</c:v>
                </c:pt>
                <c:pt idx="938">
                  <c:v>474.65</c:v>
                </c:pt>
                <c:pt idx="939">
                  <c:v>476.8</c:v>
                </c:pt>
                <c:pt idx="940">
                  <c:v>477</c:v>
                </c:pt>
                <c:pt idx="941">
                  <c:v>476.95</c:v>
                </c:pt>
                <c:pt idx="942">
                  <c:v>474.9</c:v>
                </c:pt>
                <c:pt idx="943">
                  <c:v>476.75</c:v>
                </c:pt>
                <c:pt idx="944">
                  <c:v>477.2</c:v>
                </c:pt>
                <c:pt idx="945">
                  <c:v>472.55</c:v>
                </c:pt>
                <c:pt idx="946">
                  <c:v>467.1</c:v>
                </c:pt>
                <c:pt idx="947">
                  <c:v>467.5</c:v>
                </c:pt>
                <c:pt idx="948">
                  <c:v>471.15</c:v>
                </c:pt>
                <c:pt idx="949">
                  <c:v>464.95</c:v>
                </c:pt>
                <c:pt idx="950">
                  <c:v>465.45</c:v>
                </c:pt>
                <c:pt idx="951">
                  <c:v>465.25</c:v>
                </c:pt>
                <c:pt idx="952">
                  <c:v>460.6</c:v>
                </c:pt>
                <c:pt idx="953">
                  <c:v>470</c:v>
                </c:pt>
                <c:pt idx="954">
                  <c:v>470.1</c:v>
                </c:pt>
                <c:pt idx="955">
                  <c:v>469.55</c:v>
                </c:pt>
                <c:pt idx="956">
                  <c:v>470.5</c:v>
                </c:pt>
                <c:pt idx="957">
                  <c:v>466.55</c:v>
                </c:pt>
                <c:pt idx="958">
                  <c:v>464.65</c:v>
                </c:pt>
                <c:pt idx="959">
                  <c:v>474.25</c:v>
                </c:pt>
                <c:pt idx="960">
                  <c:v>478.45</c:v>
                </c:pt>
                <c:pt idx="961">
                  <c:v>476.95</c:v>
                </c:pt>
                <c:pt idx="962">
                  <c:v>478.6</c:v>
                </c:pt>
                <c:pt idx="963">
                  <c:v>477</c:v>
                </c:pt>
                <c:pt idx="964">
                  <c:v>483.65</c:v>
                </c:pt>
                <c:pt idx="965">
                  <c:v>483.95</c:v>
                </c:pt>
                <c:pt idx="966">
                  <c:v>489.05</c:v>
                </c:pt>
                <c:pt idx="967">
                  <c:v>481.6</c:v>
                </c:pt>
                <c:pt idx="968">
                  <c:v>442.65</c:v>
                </c:pt>
                <c:pt idx="969">
                  <c:v>441.1</c:v>
                </c:pt>
                <c:pt idx="970">
                  <c:v>449.55</c:v>
                </c:pt>
                <c:pt idx="971">
                  <c:v>450.1</c:v>
                </c:pt>
                <c:pt idx="972">
                  <c:v>444.9</c:v>
                </c:pt>
                <c:pt idx="973">
                  <c:v>439.05</c:v>
                </c:pt>
                <c:pt idx="974">
                  <c:v>436.6</c:v>
                </c:pt>
                <c:pt idx="975">
                  <c:v>437.35</c:v>
                </c:pt>
                <c:pt idx="976">
                  <c:v>432.85</c:v>
                </c:pt>
                <c:pt idx="977">
                  <c:v>440.2</c:v>
                </c:pt>
                <c:pt idx="978">
                  <c:v>437.7</c:v>
                </c:pt>
                <c:pt idx="979">
                  <c:v>437.55</c:v>
                </c:pt>
                <c:pt idx="980">
                  <c:v>437</c:v>
                </c:pt>
                <c:pt idx="981">
                  <c:v>440.2</c:v>
                </c:pt>
                <c:pt idx="982">
                  <c:v>441.6</c:v>
                </c:pt>
                <c:pt idx="983">
                  <c:v>440.1</c:v>
                </c:pt>
                <c:pt idx="984">
                  <c:v>435.45</c:v>
                </c:pt>
                <c:pt idx="985">
                  <c:v>433.35</c:v>
                </c:pt>
                <c:pt idx="986">
                  <c:v>436.2</c:v>
                </c:pt>
                <c:pt idx="987">
                  <c:v>447.5</c:v>
                </c:pt>
                <c:pt idx="988">
                  <c:v>454.35</c:v>
                </c:pt>
                <c:pt idx="989">
                  <c:v>455.15</c:v>
                </c:pt>
                <c:pt idx="990">
                  <c:v>448.15</c:v>
                </c:pt>
                <c:pt idx="991">
                  <c:v>441.1</c:v>
                </c:pt>
                <c:pt idx="992">
                  <c:v>430.85</c:v>
                </c:pt>
                <c:pt idx="993">
                  <c:v>427.2</c:v>
                </c:pt>
                <c:pt idx="994">
                  <c:v>418.3</c:v>
                </c:pt>
                <c:pt idx="995">
                  <c:v>409.9</c:v>
                </c:pt>
                <c:pt idx="996">
                  <c:v>409.7</c:v>
                </c:pt>
                <c:pt idx="997">
                  <c:v>410.25</c:v>
                </c:pt>
                <c:pt idx="998">
                  <c:v>408.6</c:v>
                </c:pt>
                <c:pt idx="999">
                  <c:v>405.25</c:v>
                </c:pt>
                <c:pt idx="1000">
                  <c:v>406.4</c:v>
                </c:pt>
                <c:pt idx="1001">
                  <c:v>402.05</c:v>
                </c:pt>
                <c:pt idx="1002">
                  <c:v>400.9</c:v>
                </c:pt>
                <c:pt idx="1003">
                  <c:v>401.9</c:v>
                </c:pt>
                <c:pt idx="1004">
                  <c:v>404.85</c:v>
                </c:pt>
                <c:pt idx="1005">
                  <c:v>401.6</c:v>
                </c:pt>
                <c:pt idx="1006">
                  <c:v>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45-4BDE-9326-BF1096B47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771632"/>
        <c:axId val="669778112"/>
      </c:lineChart>
      <c:dateAx>
        <c:axId val="66977163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778112"/>
        <c:crosses val="autoZero"/>
        <c:auto val="1"/>
        <c:lblOffset val="100"/>
        <c:baseTimeUnit val="days"/>
      </c:dateAx>
      <c:valAx>
        <c:axId val="669778112"/>
        <c:scaling>
          <c:orientation val="minMax"/>
          <c:max val="600"/>
          <c:min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771632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Sheet2!$A$2:$A$1008</c:f>
              <c:numCache>
                <c:formatCode>m/d/yyyy</c:formatCode>
                <c:ptCount val="1007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44235</c:v>
                </c:pt>
                <c:pt idx="6">
                  <c:v>44236</c:v>
                </c:pt>
                <c:pt idx="7">
                  <c:v>44237</c:v>
                </c:pt>
                <c:pt idx="8">
                  <c:v>44238</c:v>
                </c:pt>
                <c:pt idx="9">
                  <c:v>44239</c:v>
                </c:pt>
                <c:pt idx="10">
                  <c:v>44242</c:v>
                </c:pt>
                <c:pt idx="11">
                  <c:v>44243</c:v>
                </c:pt>
                <c:pt idx="12">
                  <c:v>44244</c:v>
                </c:pt>
                <c:pt idx="13">
                  <c:v>44245</c:v>
                </c:pt>
                <c:pt idx="14">
                  <c:v>44246</c:v>
                </c:pt>
                <c:pt idx="15">
                  <c:v>44249</c:v>
                </c:pt>
                <c:pt idx="16">
                  <c:v>44250</c:v>
                </c:pt>
                <c:pt idx="17">
                  <c:v>44251</c:v>
                </c:pt>
                <c:pt idx="18">
                  <c:v>44252</c:v>
                </c:pt>
                <c:pt idx="19">
                  <c:v>44253</c:v>
                </c:pt>
                <c:pt idx="20">
                  <c:v>44256</c:v>
                </c:pt>
                <c:pt idx="21">
                  <c:v>44257</c:v>
                </c:pt>
                <c:pt idx="22">
                  <c:v>44258</c:v>
                </c:pt>
                <c:pt idx="23">
                  <c:v>44259</c:v>
                </c:pt>
                <c:pt idx="24">
                  <c:v>44260</c:v>
                </c:pt>
                <c:pt idx="25">
                  <c:v>44263</c:v>
                </c:pt>
                <c:pt idx="26">
                  <c:v>44264</c:v>
                </c:pt>
                <c:pt idx="27">
                  <c:v>44265</c:v>
                </c:pt>
                <c:pt idx="28">
                  <c:v>44267</c:v>
                </c:pt>
                <c:pt idx="29">
                  <c:v>44270</c:v>
                </c:pt>
                <c:pt idx="30">
                  <c:v>44271</c:v>
                </c:pt>
                <c:pt idx="31">
                  <c:v>44272</c:v>
                </c:pt>
                <c:pt idx="32">
                  <c:v>44273</c:v>
                </c:pt>
                <c:pt idx="33">
                  <c:v>44274</c:v>
                </c:pt>
                <c:pt idx="34">
                  <c:v>44277</c:v>
                </c:pt>
                <c:pt idx="35">
                  <c:v>44278</c:v>
                </c:pt>
                <c:pt idx="36">
                  <c:v>44279</c:v>
                </c:pt>
                <c:pt idx="37">
                  <c:v>44280</c:v>
                </c:pt>
                <c:pt idx="38">
                  <c:v>44281</c:v>
                </c:pt>
                <c:pt idx="39">
                  <c:v>44285</c:v>
                </c:pt>
                <c:pt idx="40">
                  <c:v>44286</c:v>
                </c:pt>
                <c:pt idx="41">
                  <c:v>44287</c:v>
                </c:pt>
                <c:pt idx="42">
                  <c:v>44291</c:v>
                </c:pt>
                <c:pt idx="43">
                  <c:v>44292</c:v>
                </c:pt>
                <c:pt idx="44">
                  <c:v>44293</c:v>
                </c:pt>
                <c:pt idx="45">
                  <c:v>44294</c:v>
                </c:pt>
                <c:pt idx="46">
                  <c:v>44295</c:v>
                </c:pt>
                <c:pt idx="47">
                  <c:v>44298</c:v>
                </c:pt>
                <c:pt idx="48">
                  <c:v>44299</c:v>
                </c:pt>
                <c:pt idx="49">
                  <c:v>44301</c:v>
                </c:pt>
                <c:pt idx="50">
                  <c:v>44302</c:v>
                </c:pt>
                <c:pt idx="51">
                  <c:v>44305</c:v>
                </c:pt>
                <c:pt idx="52">
                  <c:v>44306</c:v>
                </c:pt>
                <c:pt idx="53">
                  <c:v>44308</c:v>
                </c:pt>
                <c:pt idx="54">
                  <c:v>44309</c:v>
                </c:pt>
                <c:pt idx="55">
                  <c:v>44312</c:v>
                </c:pt>
                <c:pt idx="56">
                  <c:v>44313</c:v>
                </c:pt>
                <c:pt idx="57">
                  <c:v>44314</c:v>
                </c:pt>
                <c:pt idx="58">
                  <c:v>44315</c:v>
                </c:pt>
                <c:pt idx="59">
                  <c:v>44316</c:v>
                </c:pt>
                <c:pt idx="60">
                  <c:v>44319</c:v>
                </c:pt>
                <c:pt idx="61">
                  <c:v>44320</c:v>
                </c:pt>
                <c:pt idx="62">
                  <c:v>44321</c:v>
                </c:pt>
                <c:pt idx="63">
                  <c:v>44322</c:v>
                </c:pt>
                <c:pt idx="64">
                  <c:v>44323</c:v>
                </c:pt>
                <c:pt idx="65">
                  <c:v>44326</c:v>
                </c:pt>
                <c:pt idx="66">
                  <c:v>44327</c:v>
                </c:pt>
                <c:pt idx="67">
                  <c:v>44328</c:v>
                </c:pt>
                <c:pt idx="68">
                  <c:v>44330</c:v>
                </c:pt>
                <c:pt idx="69">
                  <c:v>44333</c:v>
                </c:pt>
                <c:pt idx="70">
                  <c:v>44334</c:v>
                </c:pt>
                <c:pt idx="71">
                  <c:v>44335</c:v>
                </c:pt>
                <c:pt idx="72">
                  <c:v>44336</c:v>
                </c:pt>
                <c:pt idx="73">
                  <c:v>44337</c:v>
                </c:pt>
                <c:pt idx="74">
                  <c:v>44340</c:v>
                </c:pt>
                <c:pt idx="75">
                  <c:v>44341</c:v>
                </c:pt>
                <c:pt idx="76">
                  <c:v>44342</c:v>
                </c:pt>
                <c:pt idx="77">
                  <c:v>44343</c:v>
                </c:pt>
                <c:pt idx="78">
                  <c:v>44344</c:v>
                </c:pt>
                <c:pt idx="79">
                  <c:v>44347</c:v>
                </c:pt>
                <c:pt idx="80">
                  <c:v>44348</c:v>
                </c:pt>
                <c:pt idx="81">
                  <c:v>44349</c:v>
                </c:pt>
                <c:pt idx="82">
                  <c:v>44350</c:v>
                </c:pt>
                <c:pt idx="83">
                  <c:v>44351</c:v>
                </c:pt>
                <c:pt idx="84">
                  <c:v>44354</c:v>
                </c:pt>
                <c:pt idx="85">
                  <c:v>44355</c:v>
                </c:pt>
                <c:pt idx="86">
                  <c:v>44356</c:v>
                </c:pt>
                <c:pt idx="87">
                  <c:v>44357</c:v>
                </c:pt>
                <c:pt idx="88">
                  <c:v>44358</c:v>
                </c:pt>
                <c:pt idx="89">
                  <c:v>44361</c:v>
                </c:pt>
                <c:pt idx="90">
                  <c:v>44362</c:v>
                </c:pt>
                <c:pt idx="91">
                  <c:v>44363</c:v>
                </c:pt>
                <c:pt idx="92">
                  <c:v>44364</c:v>
                </c:pt>
                <c:pt idx="93">
                  <c:v>44365</c:v>
                </c:pt>
                <c:pt idx="94">
                  <c:v>44368</c:v>
                </c:pt>
                <c:pt idx="95">
                  <c:v>44369</c:v>
                </c:pt>
                <c:pt idx="96">
                  <c:v>44370</c:v>
                </c:pt>
                <c:pt idx="97">
                  <c:v>44371</c:v>
                </c:pt>
                <c:pt idx="98">
                  <c:v>44372</c:v>
                </c:pt>
                <c:pt idx="99">
                  <c:v>44375</c:v>
                </c:pt>
                <c:pt idx="100">
                  <c:v>44376</c:v>
                </c:pt>
                <c:pt idx="101">
                  <c:v>44377</c:v>
                </c:pt>
                <c:pt idx="102">
                  <c:v>44378</c:v>
                </c:pt>
                <c:pt idx="103">
                  <c:v>44379</c:v>
                </c:pt>
                <c:pt idx="104">
                  <c:v>44382</c:v>
                </c:pt>
                <c:pt idx="105">
                  <c:v>44383</c:v>
                </c:pt>
                <c:pt idx="106">
                  <c:v>44384</c:v>
                </c:pt>
                <c:pt idx="107">
                  <c:v>44385</c:v>
                </c:pt>
                <c:pt idx="108">
                  <c:v>44386</c:v>
                </c:pt>
                <c:pt idx="109">
                  <c:v>44389</c:v>
                </c:pt>
                <c:pt idx="110">
                  <c:v>44390</c:v>
                </c:pt>
                <c:pt idx="111">
                  <c:v>44391</c:v>
                </c:pt>
                <c:pt idx="112">
                  <c:v>44392</c:v>
                </c:pt>
                <c:pt idx="113">
                  <c:v>44393</c:v>
                </c:pt>
                <c:pt idx="114">
                  <c:v>44396</c:v>
                </c:pt>
                <c:pt idx="115">
                  <c:v>44397</c:v>
                </c:pt>
                <c:pt idx="116">
                  <c:v>44399</c:v>
                </c:pt>
                <c:pt idx="117">
                  <c:v>44400</c:v>
                </c:pt>
                <c:pt idx="118">
                  <c:v>44403</c:v>
                </c:pt>
                <c:pt idx="119">
                  <c:v>44404</c:v>
                </c:pt>
                <c:pt idx="120">
                  <c:v>44405</c:v>
                </c:pt>
                <c:pt idx="121">
                  <c:v>44406</c:v>
                </c:pt>
                <c:pt idx="122">
                  <c:v>44407</c:v>
                </c:pt>
                <c:pt idx="123">
                  <c:v>44410</c:v>
                </c:pt>
                <c:pt idx="124">
                  <c:v>44411</c:v>
                </c:pt>
                <c:pt idx="125">
                  <c:v>44412</c:v>
                </c:pt>
                <c:pt idx="126">
                  <c:v>44413</c:v>
                </c:pt>
                <c:pt idx="127">
                  <c:v>44414</c:v>
                </c:pt>
                <c:pt idx="128">
                  <c:v>44417</c:v>
                </c:pt>
                <c:pt idx="129">
                  <c:v>44418</c:v>
                </c:pt>
                <c:pt idx="130">
                  <c:v>44419</c:v>
                </c:pt>
                <c:pt idx="131">
                  <c:v>44420</c:v>
                </c:pt>
                <c:pt idx="132">
                  <c:v>44421</c:v>
                </c:pt>
                <c:pt idx="133">
                  <c:v>44424</c:v>
                </c:pt>
                <c:pt idx="134">
                  <c:v>44425</c:v>
                </c:pt>
                <c:pt idx="135">
                  <c:v>44426</c:v>
                </c:pt>
                <c:pt idx="136">
                  <c:v>44428</c:v>
                </c:pt>
                <c:pt idx="137">
                  <c:v>44431</c:v>
                </c:pt>
                <c:pt idx="138">
                  <c:v>44432</c:v>
                </c:pt>
                <c:pt idx="139">
                  <c:v>44433</c:v>
                </c:pt>
                <c:pt idx="140">
                  <c:v>44434</c:v>
                </c:pt>
                <c:pt idx="141">
                  <c:v>44435</c:v>
                </c:pt>
                <c:pt idx="142">
                  <c:v>44438</c:v>
                </c:pt>
                <c:pt idx="143">
                  <c:v>44439</c:v>
                </c:pt>
                <c:pt idx="144">
                  <c:v>44440</c:v>
                </c:pt>
                <c:pt idx="145">
                  <c:v>44441</c:v>
                </c:pt>
                <c:pt idx="146">
                  <c:v>44442</c:v>
                </c:pt>
                <c:pt idx="147">
                  <c:v>44445</c:v>
                </c:pt>
                <c:pt idx="148">
                  <c:v>44446</c:v>
                </c:pt>
                <c:pt idx="149">
                  <c:v>44447</c:v>
                </c:pt>
                <c:pt idx="150">
                  <c:v>44448</c:v>
                </c:pt>
                <c:pt idx="151">
                  <c:v>44452</c:v>
                </c:pt>
                <c:pt idx="152">
                  <c:v>44453</c:v>
                </c:pt>
                <c:pt idx="153">
                  <c:v>44454</c:v>
                </c:pt>
                <c:pt idx="154">
                  <c:v>44455</c:v>
                </c:pt>
                <c:pt idx="155">
                  <c:v>44456</c:v>
                </c:pt>
                <c:pt idx="156">
                  <c:v>44459</c:v>
                </c:pt>
                <c:pt idx="157">
                  <c:v>44460</c:v>
                </c:pt>
                <c:pt idx="158">
                  <c:v>44461</c:v>
                </c:pt>
                <c:pt idx="159">
                  <c:v>44462</c:v>
                </c:pt>
                <c:pt idx="160">
                  <c:v>44463</c:v>
                </c:pt>
                <c:pt idx="161">
                  <c:v>44466</c:v>
                </c:pt>
                <c:pt idx="162">
                  <c:v>44467</c:v>
                </c:pt>
                <c:pt idx="163">
                  <c:v>44468</c:v>
                </c:pt>
                <c:pt idx="164">
                  <c:v>44469</c:v>
                </c:pt>
                <c:pt idx="165">
                  <c:v>44470</c:v>
                </c:pt>
                <c:pt idx="166">
                  <c:v>44473</c:v>
                </c:pt>
                <c:pt idx="167">
                  <c:v>44474</c:v>
                </c:pt>
                <c:pt idx="168">
                  <c:v>44475</c:v>
                </c:pt>
                <c:pt idx="169">
                  <c:v>44476</c:v>
                </c:pt>
                <c:pt idx="170">
                  <c:v>44477</c:v>
                </c:pt>
                <c:pt idx="171">
                  <c:v>44480</c:v>
                </c:pt>
                <c:pt idx="172">
                  <c:v>44481</c:v>
                </c:pt>
                <c:pt idx="173">
                  <c:v>44482</c:v>
                </c:pt>
                <c:pt idx="174">
                  <c:v>44483</c:v>
                </c:pt>
                <c:pt idx="175">
                  <c:v>44487</c:v>
                </c:pt>
                <c:pt idx="176">
                  <c:v>44488</c:v>
                </c:pt>
                <c:pt idx="177">
                  <c:v>44489</c:v>
                </c:pt>
                <c:pt idx="178">
                  <c:v>44490</c:v>
                </c:pt>
                <c:pt idx="179">
                  <c:v>44491</c:v>
                </c:pt>
                <c:pt idx="180">
                  <c:v>44494</c:v>
                </c:pt>
                <c:pt idx="181">
                  <c:v>44495</c:v>
                </c:pt>
                <c:pt idx="182">
                  <c:v>44496</c:v>
                </c:pt>
                <c:pt idx="183">
                  <c:v>44497</c:v>
                </c:pt>
                <c:pt idx="184">
                  <c:v>44498</c:v>
                </c:pt>
                <c:pt idx="185">
                  <c:v>44501</c:v>
                </c:pt>
                <c:pt idx="186">
                  <c:v>44502</c:v>
                </c:pt>
                <c:pt idx="187">
                  <c:v>44503</c:v>
                </c:pt>
                <c:pt idx="188">
                  <c:v>44504</c:v>
                </c:pt>
                <c:pt idx="189">
                  <c:v>44508</c:v>
                </c:pt>
                <c:pt idx="190">
                  <c:v>44509</c:v>
                </c:pt>
                <c:pt idx="191">
                  <c:v>44510</c:v>
                </c:pt>
                <c:pt idx="192">
                  <c:v>44511</c:v>
                </c:pt>
                <c:pt idx="193">
                  <c:v>44512</c:v>
                </c:pt>
                <c:pt idx="194">
                  <c:v>44515</c:v>
                </c:pt>
                <c:pt idx="195">
                  <c:v>44516</c:v>
                </c:pt>
                <c:pt idx="196">
                  <c:v>44517</c:v>
                </c:pt>
                <c:pt idx="197">
                  <c:v>44518</c:v>
                </c:pt>
                <c:pt idx="198">
                  <c:v>44522</c:v>
                </c:pt>
                <c:pt idx="199">
                  <c:v>44523</c:v>
                </c:pt>
                <c:pt idx="200">
                  <c:v>44524</c:v>
                </c:pt>
                <c:pt idx="201">
                  <c:v>44525</c:v>
                </c:pt>
                <c:pt idx="202">
                  <c:v>44526</c:v>
                </c:pt>
                <c:pt idx="203">
                  <c:v>44529</c:v>
                </c:pt>
                <c:pt idx="204">
                  <c:v>44530</c:v>
                </c:pt>
                <c:pt idx="205">
                  <c:v>44531</c:v>
                </c:pt>
                <c:pt idx="206">
                  <c:v>44532</c:v>
                </c:pt>
                <c:pt idx="207">
                  <c:v>44533</c:v>
                </c:pt>
                <c:pt idx="208">
                  <c:v>44536</c:v>
                </c:pt>
                <c:pt idx="209">
                  <c:v>44537</c:v>
                </c:pt>
                <c:pt idx="210">
                  <c:v>44538</c:v>
                </c:pt>
                <c:pt idx="211">
                  <c:v>44539</c:v>
                </c:pt>
                <c:pt idx="212">
                  <c:v>44540</c:v>
                </c:pt>
                <c:pt idx="213">
                  <c:v>44543</c:v>
                </c:pt>
                <c:pt idx="214">
                  <c:v>44544</c:v>
                </c:pt>
                <c:pt idx="215">
                  <c:v>44545</c:v>
                </c:pt>
                <c:pt idx="216">
                  <c:v>44546</c:v>
                </c:pt>
                <c:pt idx="217">
                  <c:v>44547</c:v>
                </c:pt>
                <c:pt idx="218">
                  <c:v>44550</c:v>
                </c:pt>
                <c:pt idx="219">
                  <c:v>44551</c:v>
                </c:pt>
                <c:pt idx="220">
                  <c:v>44552</c:v>
                </c:pt>
                <c:pt idx="221">
                  <c:v>44553</c:v>
                </c:pt>
                <c:pt idx="222">
                  <c:v>44554</c:v>
                </c:pt>
                <c:pt idx="223">
                  <c:v>44557</c:v>
                </c:pt>
                <c:pt idx="224">
                  <c:v>44558</c:v>
                </c:pt>
                <c:pt idx="225">
                  <c:v>44559</c:v>
                </c:pt>
                <c:pt idx="226">
                  <c:v>44560</c:v>
                </c:pt>
                <c:pt idx="227">
                  <c:v>44561</c:v>
                </c:pt>
                <c:pt idx="228">
                  <c:v>44564</c:v>
                </c:pt>
                <c:pt idx="229">
                  <c:v>44565</c:v>
                </c:pt>
                <c:pt idx="230">
                  <c:v>44566</c:v>
                </c:pt>
                <c:pt idx="231">
                  <c:v>44567</c:v>
                </c:pt>
                <c:pt idx="232">
                  <c:v>44568</c:v>
                </c:pt>
                <c:pt idx="233">
                  <c:v>44571</c:v>
                </c:pt>
                <c:pt idx="234">
                  <c:v>44572</c:v>
                </c:pt>
                <c:pt idx="235">
                  <c:v>44573</c:v>
                </c:pt>
                <c:pt idx="236">
                  <c:v>44574</c:v>
                </c:pt>
                <c:pt idx="237">
                  <c:v>44575</c:v>
                </c:pt>
                <c:pt idx="238">
                  <c:v>44578</c:v>
                </c:pt>
                <c:pt idx="239">
                  <c:v>44579</c:v>
                </c:pt>
                <c:pt idx="240">
                  <c:v>44580</c:v>
                </c:pt>
                <c:pt idx="241">
                  <c:v>44581</c:v>
                </c:pt>
                <c:pt idx="242">
                  <c:v>44582</c:v>
                </c:pt>
                <c:pt idx="243">
                  <c:v>44585</c:v>
                </c:pt>
                <c:pt idx="244">
                  <c:v>44586</c:v>
                </c:pt>
                <c:pt idx="245">
                  <c:v>44588</c:v>
                </c:pt>
                <c:pt idx="246">
                  <c:v>44589</c:v>
                </c:pt>
                <c:pt idx="247">
                  <c:v>44592</c:v>
                </c:pt>
                <c:pt idx="248">
                  <c:v>44593</c:v>
                </c:pt>
                <c:pt idx="249">
                  <c:v>44594</c:v>
                </c:pt>
                <c:pt idx="250">
                  <c:v>44595</c:v>
                </c:pt>
                <c:pt idx="251">
                  <c:v>44596</c:v>
                </c:pt>
                <c:pt idx="252">
                  <c:v>44599</c:v>
                </c:pt>
                <c:pt idx="253">
                  <c:v>44600</c:v>
                </c:pt>
                <c:pt idx="254">
                  <c:v>44601</c:v>
                </c:pt>
                <c:pt idx="255">
                  <c:v>44602</c:v>
                </c:pt>
                <c:pt idx="256">
                  <c:v>44603</c:v>
                </c:pt>
                <c:pt idx="257">
                  <c:v>44606</c:v>
                </c:pt>
                <c:pt idx="258">
                  <c:v>44607</c:v>
                </c:pt>
                <c:pt idx="259">
                  <c:v>44608</c:v>
                </c:pt>
                <c:pt idx="260">
                  <c:v>44609</c:v>
                </c:pt>
                <c:pt idx="261">
                  <c:v>44610</c:v>
                </c:pt>
                <c:pt idx="262">
                  <c:v>44613</c:v>
                </c:pt>
                <c:pt idx="263">
                  <c:v>44614</c:v>
                </c:pt>
                <c:pt idx="264">
                  <c:v>44615</c:v>
                </c:pt>
                <c:pt idx="265">
                  <c:v>44616</c:v>
                </c:pt>
                <c:pt idx="266">
                  <c:v>44617</c:v>
                </c:pt>
                <c:pt idx="267">
                  <c:v>44620</c:v>
                </c:pt>
                <c:pt idx="268">
                  <c:v>44622</c:v>
                </c:pt>
                <c:pt idx="269">
                  <c:v>44623</c:v>
                </c:pt>
                <c:pt idx="270">
                  <c:v>44624</c:v>
                </c:pt>
                <c:pt idx="271">
                  <c:v>44627</c:v>
                </c:pt>
                <c:pt idx="272">
                  <c:v>44628</c:v>
                </c:pt>
                <c:pt idx="273">
                  <c:v>44629</c:v>
                </c:pt>
                <c:pt idx="274">
                  <c:v>44630</c:v>
                </c:pt>
                <c:pt idx="275">
                  <c:v>44631</c:v>
                </c:pt>
                <c:pt idx="276">
                  <c:v>44634</c:v>
                </c:pt>
                <c:pt idx="277">
                  <c:v>44635</c:v>
                </c:pt>
                <c:pt idx="278">
                  <c:v>44636</c:v>
                </c:pt>
                <c:pt idx="279">
                  <c:v>44637</c:v>
                </c:pt>
                <c:pt idx="280">
                  <c:v>44641</c:v>
                </c:pt>
                <c:pt idx="281">
                  <c:v>44642</c:v>
                </c:pt>
                <c:pt idx="282">
                  <c:v>44643</c:v>
                </c:pt>
                <c:pt idx="283">
                  <c:v>44644</c:v>
                </c:pt>
                <c:pt idx="284">
                  <c:v>44645</c:v>
                </c:pt>
                <c:pt idx="285">
                  <c:v>44648</c:v>
                </c:pt>
                <c:pt idx="286">
                  <c:v>44649</c:v>
                </c:pt>
                <c:pt idx="287">
                  <c:v>44650</c:v>
                </c:pt>
                <c:pt idx="288">
                  <c:v>44651</c:v>
                </c:pt>
                <c:pt idx="289">
                  <c:v>44652</c:v>
                </c:pt>
                <c:pt idx="290">
                  <c:v>44655</c:v>
                </c:pt>
                <c:pt idx="291">
                  <c:v>44656</c:v>
                </c:pt>
                <c:pt idx="292">
                  <c:v>44657</c:v>
                </c:pt>
                <c:pt idx="293">
                  <c:v>44658</c:v>
                </c:pt>
                <c:pt idx="294">
                  <c:v>44659</c:v>
                </c:pt>
                <c:pt idx="295">
                  <c:v>44662</c:v>
                </c:pt>
                <c:pt idx="296">
                  <c:v>44663</c:v>
                </c:pt>
                <c:pt idx="297">
                  <c:v>44664</c:v>
                </c:pt>
                <c:pt idx="298">
                  <c:v>44669</c:v>
                </c:pt>
                <c:pt idx="299">
                  <c:v>44670</c:v>
                </c:pt>
                <c:pt idx="300">
                  <c:v>44671</c:v>
                </c:pt>
                <c:pt idx="301">
                  <c:v>44672</c:v>
                </c:pt>
                <c:pt idx="302">
                  <c:v>44673</c:v>
                </c:pt>
                <c:pt idx="303">
                  <c:v>44676</c:v>
                </c:pt>
                <c:pt idx="304">
                  <c:v>44677</c:v>
                </c:pt>
                <c:pt idx="305">
                  <c:v>44678</c:v>
                </c:pt>
                <c:pt idx="306">
                  <c:v>44679</c:v>
                </c:pt>
                <c:pt idx="307">
                  <c:v>44680</c:v>
                </c:pt>
                <c:pt idx="308">
                  <c:v>44683</c:v>
                </c:pt>
                <c:pt idx="309">
                  <c:v>44685</c:v>
                </c:pt>
                <c:pt idx="310">
                  <c:v>44686</c:v>
                </c:pt>
                <c:pt idx="311">
                  <c:v>44687</c:v>
                </c:pt>
                <c:pt idx="312">
                  <c:v>44690</c:v>
                </c:pt>
                <c:pt idx="313">
                  <c:v>44691</c:v>
                </c:pt>
                <c:pt idx="314">
                  <c:v>44692</c:v>
                </c:pt>
                <c:pt idx="315">
                  <c:v>44693</c:v>
                </c:pt>
                <c:pt idx="316">
                  <c:v>44694</c:v>
                </c:pt>
                <c:pt idx="317">
                  <c:v>44697</c:v>
                </c:pt>
                <c:pt idx="318">
                  <c:v>44698</c:v>
                </c:pt>
                <c:pt idx="319">
                  <c:v>44699</c:v>
                </c:pt>
                <c:pt idx="320">
                  <c:v>44700</c:v>
                </c:pt>
                <c:pt idx="321">
                  <c:v>44701</c:v>
                </c:pt>
                <c:pt idx="322">
                  <c:v>44704</c:v>
                </c:pt>
                <c:pt idx="323">
                  <c:v>44705</c:v>
                </c:pt>
                <c:pt idx="324">
                  <c:v>44706</c:v>
                </c:pt>
                <c:pt idx="325">
                  <c:v>44707</c:v>
                </c:pt>
                <c:pt idx="326">
                  <c:v>44708</c:v>
                </c:pt>
                <c:pt idx="327">
                  <c:v>44711</c:v>
                </c:pt>
                <c:pt idx="328">
                  <c:v>44712</c:v>
                </c:pt>
                <c:pt idx="329">
                  <c:v>44713</c:v>
                </c:pt>
                <c:pt idx="330">
                  <c:v>44714</c:v>
                </c:pt>
                <c:pt idx="331">
                  <c:v>44715</c:v>
                </c:pt>
                <c:pt idx="332">
                  <c:v>44718</c:v>
                </c:pt>
                <c:pt idx="333">
                  <c:v>44719</c:v>
                </c:pt>
                <c:pt idx="334">
                  <c:v>44720</c:v>
                </c:pt>
                <c:pt idx="335">
                  <c:v>44721</c:v>
                </c:pt>
                <c:pt idx="336">
                  <c:v>44722</c:v>
                </c:pt>
                <c:pt idx="337">
                  <c:v>44725</c:v>
                </c:pt>
                <c:pt idx="338">
                  <c:v>44726</c:v>
                </c:pt>
                <c:pt idx="339">
                  <c:v>44727</c:v>
                </c:pt>
                <c:pt idx="340">
                  <c:v>44728</c:v>
                </c:pt>
                <c:pt idx="341">
                  <c:v>44729</c:v>
                </c:pt>
                <c:pt idx="342">
                  <c:v>44732</c:v>
                </c:pt>
                <c:pt idx="343">
                  <c:v>44733</c:v>
                </c:pt>
                <c:pt idx="344">
                  <c:v>44734</c:v>
                </c:pt>
                <c:pt idx="345">
                  <c:v>44735</c:v>
                </c:pt>
                <c:pt idx="346">
                  <c:v>44736</c:v>
                </c:pt>
                <c:pt idx="347">
                  <c:v>44739</c:v>
                </c:pt>
                <c:pt idx="348">
                  <c:v>44740</c:v>
                </c:pt>
                <c:pt idx="349">
                  <c:v>44741</c:v>
                </c:pt>
                <c:pt idx="350">
                  <c:v>44742</c:v>
                </c:pt>
                <c:pt idx="351">
                  <c:v>44743</c:v>
                </c:pt>
                <c:pt idx="352">
                  <c:v>44746</c:v>
                </c:pt>
                <c:pt idx="353">
                  <c:v>44747</c:v>
                </c:pt>
                <c:pt idx="354">
                  <c:v>44748</c:v>
                </c:pt>
                <c:pt idx="355">
                  <c:v>44749</c:v>
                </c:pt>
                <c:pt idx="356">
                  <c:v>44750</c:v>
                </c:pt>
                <c:pt idx="357">
                  <c:v>44753</c:v>
                </c:pt>
                <c:pt idx="358">
                  <c:v>44754</c:v>
                </c:pt>
                <c:pt idx="359">
                  <c:v>44755</c:v>
                </c:pt>
                <c:pt idx="360">
                  <c:v>44756</c:v>
                </c:pt>
                <c:pt idx="361">
                  <c:v>44757</c:v>
                </c:pt>
                <c:pt idx="362">
                  <c:v>44760</c:v>
                </c:pt>
                <c:pt idx="363">
                  <c:v>44761</c:v>
                </c:pt>
                <c:pt idx="364">
                  <c:v>44762</c:v>
                </c:pt>
                <c:pt idx="365">
                  <c:v>44763</c:v>
                </c:pt>
                <c:pt idx="366">
                  <c:v>44764</c:v>
                </c:pt>
                <c:pt idx="367">
                  <c:v>44767</c:v>
                </c:pt>
                <c:pt idx="368">
                  <c:v>44768</c:v>
                </c:pt>
                <c:pt idx="369">
                  <c:v>44769</c:v>
                </c:pt>
                <c:pt idx="370">
                  <c:v>44770</c:v>
                </c:pt>
                <c:pt idx="371">
                  <c:v>44771</c:v>
                </c:pt>
                <c:pt idx="372">
                  <c:v>44774</c:v>
                </c:pt>
                <c:pt idx="373">
                  <c:v>44775</c:v>
                </c:pt>
                <c:pt idx="374">
                  <c:v>44776</c:v>
                </c:pt>
                <c:pt idx="375">
                  <c:v>44777</c:v>
                </c:pt>
                <c:pt idx="376">
                  <c:v>44778</c:v>
                </c:pt>
                <c:pt idx="377">
                  <c:v>44781</c:v>
                </c:pt>
                <c:pt idx="378">
                  <c:v>44783</c:v>
                </c:pt>
                <c:pt idx="379">
                  <c:v>44784</c:v>
                </c:pt>
                <c:pt idx="380">
                  <c:v>44785</c:v>
                </c:pt>
                <c:pt idx="381">
                  <c:v>44789</c:v>
                </c:pt>
                <c:pt idx="382">
                  <c:v>44790</c:v>
                </c:pt>
                <c:pt idx="383">
                  <c:v>44791</c:v>
                </c:pt>
                <c:pt idx="384">
                  <c:v>44792</c:v>
                </c:pt>
                <c:pt idx="385">
                  <c:v>44795</c:v>
                </c:pt>
                <c:pt idx="386">
                  <c:v>44796</c:v>
                </c:pt>
                <c:pt idx="387">
                  <c:v>44797</c:v>
                </c:pt>
                <c:pt idx="388">
                  <c:v>44798</c:v>
                </c:pt>
                <c:pt idx="389">
                  <c:v>44799</c:v>
                </c:pt>
                <c:pt idx="390">
                  <c:v>44802</c:v>
                </c:pt>
                <c:pt idx="391">
                  <c:v>44803</c:v>
                </c:pt>
                <c:pt idx="392">
                  <c:v>44805</c:v>
                </c:pt>
                <c:pt idx="393">
                  <c:v>44806</c:v>
                </c:pt>
                <c:pt idx="394">
                  <c:v>44809</c:v>
                </c:pt>
                <c:pt idx="395">
                  <c:v>44810</c:v>
                </c:pt>
                <c:pt idx="396">
                  <c:v>44811</c:v>
                </c:pt>
                <c:pt idx="397">
                  <c:v>44812</c:v>
                </c:pt>
                <c:pt idx="398">
                  <c:v>44813</c:v>
                </c:pt>
                <c:pt idx="399">
                  <c:v>44816</c:v>
                </c:pt>
                <c:pt idx="400">
                  <c:v>44817</c:v>
                </c:pt>
                <c:pt idx="401">
                  <c:v>44818</c:v>
                </c:pt>
                <c:pt idx="402">
                  <c:v>44819</c:v>
                </c:pt>
                <c:pt idx="403">
                  <c:v>44820</c:v>
                </c:pt>
                <c:pt idx="404">
                  <c:v>44823</c:v>
                </c:pt>
                <c:pt idx="405">
                  <c:v>44824</c:v>
                </c:pt>
                <c:pt idx="406">
                  <c:v>44825</c:v>
                </c:pt>
                <c:pt idx="407">
                  <c:v>44826</c:v>
                </c:pt>
                <c:pt idx="408">
                  <c:v>44827</c:v>
                </c:pt>
                <c:pt idx="409">
                  <c:v>44830</c:v>
                </c:pt>
                <c:pt idx="410">
                  <c:v>44831</c:v>
                </c:pt>
                <c:pt idx="411">
                  <c:v>44832</c:v>
                </c:pt>
                <c:pt idx="412">
                  <c:v>44833</c:v>
                </c:pt>
                <c:pt idx="413">
                  <c:v>44834</c:v>
                </c:pt>
                <c:pt idx="414">
                  <c:v>44837</c:v>
                </c:pt>
                <c:pt idx="415">
                  <c:v>44838</c:v>
                </c:pt>
                <c:pt idx="416">
                  <c:v>44840</c:v>
                </c:pt>
                <c:pt idx="417">
                  <c:v>44841</c:v>
                </c:pt>
                <c:pt idx="418">
                  <c:v>44844</c:v>
                </c:pt>
                <c:pt idx="419">
                  <c:v>44845</c:v>
                </c:pt>
                <c:pt idx="420">
                  <c:v>44846</c:v>
                </c:pt>
                <c:pt idx="421">
                  <c:v>44847</c:v>
                </c:pt>
                <c:pt idx="422">
                  <c:v>44848</c:v>
                </c:pt>
                <c:pt idx="423">
                  <c:v>44851</c:v>
                </c:pt>
                <c:pt idx="424">
                  <c:v>44852</c:v>
                </c:pt>
                <c:pt idx="425">
                  <c:v>44853</c:v>
                </c:pt>
                <c:pt idx="426">
                  <c:v>44854</c:v>
                </c:pt>
                <c:pt idx="427">
                  <c:v>44855</c:v>
                </c:pt>
                <c:pt idx="428">
                  <c:v>44859</c:v>
                </c:pt>
                <c:pt idx="429">
                  <c:v>44861</c:v>
                </c:pt>
                <c:pt idx="430">
                  <c:v>44862</c:v>
                </c:pt>
                <c:pt idx="431">
                  <c:v>44865</c:v>
                </c:pt>
                <c:pt idx="432">
                  <c:v>44866</c:v>
                </c:pt>
                <c:pt idx="433">
                  <c:v>44867</c:v>
                </c:pt>
                <c:pt idx="434">
                  <c:v>44868</c:v>
                </c:pt>
                <c:pt idx="435">
                  <c:v>44869</c:v>
                </c:pt>
                <c:pt idx="436">
                  <c:v>44872</c:v>
                </c:pt>
                <c:pt idx="437">
                  <c:v>44874</c:v>
                </c:pt>
                <c:pt idx="438">
                  <c:v>44875</c:v>
                </c:pt>
                <c:pt idx="439">
                  <c:v>44876</c:v>
                </c:pt>
                <c:pt idx="440">
                  <c:v>44879</c:v>
                </c:pt>
                <c:pt idx="441">
                  <c:v>44880</c:v>
                </c:pt>
                <c:pt idx="442">
                  <c:v>44881</c:v>
                </c:pt>
                <c:pt idx="443">
                  <c:v>44882</c:v>
                </c:pt>
                <c:pt idx="444">
                  <c:v>44883</c:v>
                </c:pt>
                <c:pt idx="445">
                  <c:v>44886</c:v>
                </c:pt>
                <c:pt idx="446">
                  <c:v>44887</c:v>
                </c:pt>
                <c:pt idx="447">
                  <c:v>44888</c:v>
                </c:pt>
                <c:pt idx="448">
                  <c:v>44889</c:v>
                </c:pt>
                <c:pt idx="449">
                  <c:v>44890</c:v>
                </c:pt>
                <c:pt idx="450">
                  <c:v>44893</c:v>
                </c:pt>
                <c:pt idx="451">
                  <c:v>44894</c:v>
                </c:pt>
                <c:pt idx="452">
                  <c:v>44895</c:v>
                </c:pt>
                <c:pt idx="453">
                  <c:v>44896</c:v>
                </c:pt>
                <c:pt idx="454">
                  <c:v>44897</c:v>
                </c:pt>
                <c:pt idx="455">
                  <c:v>44900</c:v>
                </c:pt>
                <c:pt idx="456">
                  <c:v>44901</c:v>
                </c:pt>
                <c:pt idx="457">
                  <c:v>44902</c:v>
                </c:pt>
                <c:pt idx="458">
                  <c:v>44903</c:v>
                </c:pt>
                <c:pt idx="459">
                  <c:v>44904</c:v>
                </c:pt>
                <c:pt idx="460">
                  <c:v>44907</c:v>
                </c:pt>
                <c:pt idx="461">
                  <c:v>44908</c:v>
                </c:pt>
                <c:pt idx="462">
                  <c:v>44909</c:v>
                </c:pt>
                <c:pt idx="463">
                  <c:v>44910</c:v>
                </c:pt>
                <c:pt idx="464">
                  <c:v>44911</c:v>
                </c:pt>
                <c:pt idx="465">
                  <c:v>44914</c:v>
                </c:pt>
                <c:pt idx="466">
                  <c:v>44915</c:v>
                </c:pt>
                <c:pt idx="467">
                  <c:v>44916</c:v>
                </c:pt>
                <c:pt idx="468">
                  <c:v>44917</c:v>
                </c:pt>
                <c:pt idx="469">
                  <c:v>44918</c:v>
                </c:pt>
                <c:pt idx="470">
                  <c:v>44921</c:v>
                </c:pt>
                <c:pt idx="471">
                  <c:v>44922</c:v>
                </c:pt>
                <c:pt idx="472">
                  <c:v>44923</c:v>
                </c:pt>
                <c:pt idx="473">
                  <c:v>44924</c:v>
                </c:pt>
                <c:pt idx="474">
                  <c:v>44925</c:v>
                </c:pt>
                <c:pt idx="475">
                  <c:v>44928</c:v>
                </c:pt>
                <c:pt idx="476">
                  <c:v>44929</c:v>
                </c:pt>
                <c:pt idx="477">
                  <c:v>44930</c:v>
                </c:pt>
                <c:pt idx="478">
                  <c:v>44931</c:v>
                </c:pt>
                <c:pt idx="479">
                  <c:v>44932</c:v>
                </c:pt>
                <c:pt idx="480">
                  <c:v>44935</c:v>
                </c:pt>
                <c:pt idx="481">
                  <c:v>44936</c:v>
                </c:pt>
                <c:pt idx="482">
                  <c:v>44937</c:v>
                </c:pt>
                <c:pt idx="483">
                  <c:v>44938</c:v>
                </c:pt>
                <c:pt idx="484">
                  <c:v>44939</c:v>
                </c:pt>
                <c:pt idx="485">
                  <c:v>44942</c:v>
                </c:pt>
                <c:pt idx="486">
                  <c:v>44943</c:v>
                </c:pt>
                <c:pt idx="487">
                  <c:v>44944</c:v>
                </c:pt>
                <c:pt idx="488">
                  <c:v>44945</c:v>
                </c:pt>
                <c:pt idx="489">
                  <c:v>44946</c:v>
                </c:pt>
                <c:pt idx="490">
                  <c:v>44949</c:v>
                </c:pt>
                <c:pt idx="491">
                  <c:v>44950</c:v>
                </c:pt>
                <c:pt idx="492">
                  <c:v>44951</c:v>
                </c:pt>
                <c:pt idx="493">
                  <c:v>44953</c:v>
                </c:pt>
                <c:pt idx="494">
                  <c:v>44956</c:v>
                </c:pt>
                <c:pt idx="495">
                  <c:v>44957</c:v>
                </c:pt>
                <c:pt idx="496">
                  <c:v>44958</c:v>
                </c:pt>
                <c:pt idx="497">
                  <c:v>44959</c:v>
                </c:pt>
                <c:pt idx="498">
                  <c:v>44960</c:v>
                </c:pt>
                <c:pt idx="499">
                  <c:v>44963</c:v>
                </c:pt>
                <c:pt idx="500">
                  <c:v>44964</c:v>
                </c:pt>
                <c:pt idx="501">
                  <c:v>44965</c:v>
                </c:pt>
                <c:pt idx="502">
                  <c:v>44966</c:v>
                </c:pt>
                <c:pt idx="503">
                  <c:v>44967</c:v>
                </c:pt>
                <c:pt idx="504">
                  <c:v>44970</c:v>
                </c:pt>
                <c:pt idx="505">
                  <c:v>44971</c:v>
                </c:pt>
                <c:pt idx="506">
                  <c:v>44972</c:v>
                </c:pt>
                <c:pt idx="507">
                  <c:v>44973</c:v>
                </c:pt>
                <c:pt idx="508">
                  <c:v>44974</c:v>
                </c:pt>
                <c:pt idx="509">
                  <c:v>44977</c:v>
                </c:pt>
                <c:pt idx="510">
                  <c:v>44978</c:v>
                </c:pt>
                <c:pt idx="511">
                  <c:v>44979</c:v>
                </c:pt>
                <c:pt idx="512">
                  <c:v>44980</c:v>
                </c:pt>
                <c:pt idx="513">
                  <c:v>44981</c:v>
                </c:pt>
                <c:pt idx="514">
                  <c:v>44984</c:v>
                </c:pt>
                <c:pt idx="515">
                  <c:v>44985</c:v>
                </c:pt>
                <c:pt idx="516">
                  <c:v>44986</c:v>
                </c:pt>
                <c:pt idx="517">
                  <c:v>44987</c:v>
                </c:pt>
                <c:pt idx="518">
                  <c:v>44988</c:v>
                </c:pt>
                <c:pt idx="519">
                  <c:v>44991</c:v>
                </c:pt>
                <c:pt idx="520">
                  <c:v>44993</c:v>
                </c:pt>
                <c:pt idx="521">
                  <c:v>44994</c:v>
                </c:pt>
                <c:pt idx="522">
                  <c:v>44995</c:v>
                </c:pt>
                <c:pt idx="523">
                  <c:v>44998</c:v>
                </c:pt>
                <c:pt idx="524">
                  <c:v>44999</c:v>
                </c:pt>
                <c:pt idx="525">
                  <c:v>45000</c:v>
                </c:pt>
                <c:pt idx="526">
                  <c:v>45001</c:v>
                </c:pt>
                <c:pt idx="527">
                  <c:v>45002</c:v>
                </c:pt>
                <c:pt idx="528">
                  <c:v>45005</c:v>
                </c:pt>
                <c:pt idx="529">
                  <c:v>45006</c:v>
                </c:pt>
                <c:pt idx="530">
                  <c:v>45007</c:v>
                </c:pt>
                <c:pt idx="531">
                  <c:v>45008</c:v>
                </c:pt>
                <c:pt idx="532">
                  <c:v>45009</c:v>
                </c:pt>
                <c:pt idx="533">
                  <c:v>45012</c:v>
                </c:pt>
                <c:pt idx="534">
                  <c:v>45013</c:v>
                </c:pt>
                <c:pt idx="535">
                  <c:v>45014</c:v>
                </c:pt>
                <c:pt idx="536">
                  <c:v>45016</c:v>
                </c:pt>
                <c:pt idx="537">
                  <c:v>45019</c:v>
                </c:pt>
                <c:pt idx="538">
                  <c:v>45021</c:v>
                </c:pt>
                <c:pt idx="539">
                  <c:v>45022</c:v>
                </c:pt>
                <c:pt idx="540">
                  <c:v>45026</c:v>
                </c:pt>
                <c:pt idx="541">
                  <c:v>45027</c:v>
                </c:pt>
                <c:pt idx="542">
                  <c:v>45028</c:v>
                </c:pt>
                <c:pt idx="543">
                  <c:v>45029</c:v>
                </c:pt>
                <c:pt idx="544">
                  <c:v>45033</c:v>
                </c:pt>
                <c:pt idx="545">
                  <c:v>45034</c:v>
                </c:pt>
                <c:pt idx="546">
                  <c:v>45035</c:v>
                </c:pt>
                <c:pt idx="547">
                  <c:v>45036</c:v>
                </c:pt>
                <c:pt idx="548">
                  <c:v>45037</c:v>
                </c:pt>
                <c:pt idx="549">
                  <c:v>45040</c:v>
                </c:pt>
                <c:pt idx="550">
                  <c:v>45041</c:v>
                </c:pt>
                <c:pt idx="551">
                  <c:v>45042</c:v>
                </c:pt>
                <c:pt idx="552">
                  <c:v>45043</c:v>
                </c:pt>
                <c:pt idx="553">
                  <c:v>45044</c:v>
                </c:pt>
                <c:pt idx="554">
                  <c:v>45048</c:v>
                </c:pt>
                <c:pt idx="555">
                  <c:v>45049</c:v>
                </c:pt>
                <c:pt idx="556">
                  <c:v>45050</c:v>
                </c:pt>
                <c:pt idx="557">
                  <c:v>45051</c:v>
                </c:pt>
                <c:pt idx="558">
                  <c:v>45054</c:v>
                </c:pt>
                <c:pt idx="559">
                  <c:v>45055</c:v>
                </c:pt>
                <c:pt idx="560">
                  <c:v>45056</c:v>
                </c:pt>
                <c:pt idx="561">
                  <c:v>45057</c:v>
                </c:pt>
                <c:pt idx="562">
                  <c:v>45058</c:v>
                </c:pt>
                <c:pt idx="563">
                  <c:v>45061</c:v>
                </c:pt>
                <c:pt idx="564">
                  <c:v>45062</c:v>
                </c:pt>
                <c:pt idx="565">
                  <c:v>45063</c:v>
                </c:pt>
                <c:pt idx="566">
                  <c:v>45064</c:v>
                </c:pt>
                <c:pt idx="567">
                  <c:v>45065</c:v>
                </c:pt>
                <c:pt idx="568">
                  <c:v>45068</c:v>
                </c:pt>
                <c:pt idx="569">
                  <c:v>45069</c:v>
                </c:pt>
                <c:pt idx="570">
                  <c:v>45070</c:v>
                </c:pt>
                <c:pt idx="571">
                  <c:v>45071</c:v>
                </c:pt>
                <c:pt idx="572">
                  <c:v>45072</c:v>
                </c:pt>
                <c:pt idx="573">
                  <c:v>45075</c:v>
                </c:pt>
                <c:pt idx="574">
                  <c:v>45076</c:v>
                </c:pt>
                <c:pt idx="575">
                  <c:v>45077</c:v>
                </c:pt>
                <c:pt idx="576">
                  <c:v>45078</c:v>
                </c:pt>
                <c:pt idx="577">
                  <c:v>45079</c:v>
                </c:pt>
                <c:pt idx="578">
                  <c:v>45082</c:v>
                </c:pt>
                <c:pt idx="579">
                  <c:v>45083</c:v>
                </c:pt>
                <c:pt idx="580">
                  <c:v>45084</c:v>
                </c:pt>
                <c:pt idx="581">
                  <c:v>45085</c:v>
                </c:pt>
                <c:pt idx="582">
                  <c:v>45086</c:v>
                </c:pt>
                <c:pt idx="583">
                  <c:v>45089</c:v>
                </c:pt>
                <c:pt idx="584">
                  <c:v>45090</c:v>
                </c:pt>
                <c:pt idx="585">
                  <c:v>45091</c:v>
                </c:pt>
                <c:pt idx="586">
                  <c:v>45092</c:v>
                </c:pt>
                <c:pt idx="587">
                  <c:v>45093</c:v>
                </c:pt>
                <c:pt idx="588">
                  <c:v>45096</c:v>
                </c:pt>
                <c:pt idx="589">
                  <c:v>45097</c:v>
                </c:pt>
                <c:pt idx="590">
                  <c:v>45098</c:v>
                </c:pt>
                <c:pt idx="591">
                  <c:v>45099</c:v>
                </c:pt>
                <c:pt idx="592">
                  <c:v>45100</c:v>
                </c:pt>
                <c:pt idx="593">
                  <c:v>45103</c:v>
                </c:pt>
                <c:pt idx="594">
                  <c:v>45104</c:v>
                </c:pt>
                <c:pt idx="595">
                  <c:v>45105</c:v>
                </c:pt>
                <c:pt idx="596">
                  <c:v>45107</c:v>
                </c:pt>
                <c:pt idx="597">
                  <c:v>45110</c:v>
                </c:pt>
                <c:pt idx="598">
                  <c:v>45111</c:v>
                </c:pt>
                <c:pt idx="599">
                  <c:v>45112</c:v>
                </c:pt>
                <c:pt idx="600">
                  <c:v>45113</c:v>
                </c:pt>
                <c:pt idx="601">
                  <c:v>45114</c:v>
                </c:pt>
                <c:pt idx="602">
                  <c:v>45117</c:v>
                </c:pt>
                <c:pt idx="603">
                  <c:v>45118</c:v>
                </c:pt>
                <c:pt idx="604">
                  <c:v>45119</c:v>
                </c:pt>
                <c:pt idx="605">
                  <c:v>45120</c:v>
                </c:pt>
                <c:pt idx="606">
                  <c:v>45121</c:v>
                </c:pt>
                <c:pt idx="607">
                  <c:v>45124</c:v>
                </c:pt>
                <c:pt idx="608">
                  <c:v>45125</c:v>
                </c:pt>
                <c:pt idx="609">
                  <c:v>45126</c:v>
                </c:pt>
                <c:pt idx="610">
                  <c:v>45127</c:v>
                </c:pt>
                <c:pt idx="611">
                  <c:v>45128</c:v>
                </c:pt>
                <c:pt idx="612">
                  <c:v>45131</c:v>
                </c:pt>
                <c:pt idx="613">
                  <c:v>45132</c:v>
                </c:pt>
                <c:pt idx="614">
                  <c:v>45133</c:v>
                </c:pt>
                <c:pt idx="615">
                  <c:v>45134</c:v>
                </c:pt>
                <c:pt idx="616">
                  <c:v>45135</c:v>
                </c:pt>
                <c:pt idx="617">
                  <c:v>45138</c:v>
                </c:pt>
                <c:pt idx="618">
                  <c:v>45139</c:v>
                </c:pt>
                <c:pt idx="619">
                  <c:v>45140</c:v>
                </c:pt>
                <c:pt idx="620">
                  <c:v>45141</c:v>
                </c:pt>
                <c:pt idx="621">
                  <c:v>45142</c:v>
                </c:pt>
                <c:pt idx="622">
                  <c:v>45145</c:v>
                </c:pt>
                <c:pt idx="623">
                  <c:v>45146</c:v>
                </c:pt>
                <c:pt idx="624">
                  <c:v>45147</c:v>
                </c:pt>
                <c:pt idx="625">
                  <c:v>45148</c:v>
                </c:pt>
                <c:pt idx="626">
                  <c:v>45149</c:v>
                </c:pt>
                <c:pt idx="627">
                  <c:v>45152</c:v>
                </c:pt>
                <c:pt idx="628">
                  <c:v>45154</c:v>
                </c:pt>
                <c:pt idx="629">
                  <c:v>45155</c:v>
                </c:pt>
                <c:pt idx="630">
                  <c:v>45156</c:v>
                </c:pt>
                <c:pt idx="631">
                  <c:v>45159</c:v>
                </c:pt>
                <c:pt idx="632">
                  <c:v>45160</c:v>
                </c:pt>
                <c:pt idx="633">
                  <c:v>45161</c:v>
                </c:pt>
                <c:pt idx="634">
                  <c:v>45162</c:v>
                </c:pt>
                <c:pt idx="635">
                  <c:v>45163</c:v>
                </c:pt>
                <c:pt idx="636">
                  <c:v>45166</c:v>
                </c:pt>
                <c:pt idx="637">
                  <c:v>45167</c:v>
                </c:pt>
                <c:pt idx="638">
                  <c:v>45168</c:v>
                </c:pt>
                <c:pt idx="639">
                  <c:v>45169</c:v>
                </c:pt>
                <c:pt idx="640">
                  <c:v>45170</c:v>
                </c:pt>
                <c:pt idx="641">
                  <c:v>45173</c:v>
                </c:pt>
                <c:pt idx="642">
                  <c:v>45174</c:v>
                </c:pt>
                <c:pt idx="643">
                  <c:v>45175</c:v>
                </c:pt>
                <c:pt idx="644">
                  <c:v>45176</c:v>
                </c:pt>
                <c:pt idx="645">
                  <c:v>45177</c:v>
                </c:pt>
                <c:pt idx="646">
                  <c:v>45180</c:v>
                </c:pt>
                <c:pt idx="647">
                  <c:v>45181</c:v>
                </c:pt>
                <c:pt idx="648">
                  <c:v>45182</c:v>
                </c:pt>
                <c:pt idx="649">
                  <c:v>45183</c:v>
                </c:pt>
                <c:pt idx="650">
                  <c:v>45184</c:v>
                </c:pt>
                <c:pt idx="651">
                  <c:v>45187</c:v>
                </c:pt>
                <c:pt idx="652">
                  <c:v>45189</c:v>
                </c:pt>
                <c:pt idx="653">
                  <c:v>45190</c:v>
                </c:pt>
                <c:pt idx="654">
                  <c:v>45191</c:v>
                </c:pt>
                <c:pt idx="655">
                  <c:v>45194</c:v>
                </c:pt>
                <c:pt idx="656">
                  <c:v>45195</c:v>
                </c:pt>
                <c:pt idx="657">
                  <c:v>45196</c:v>
                </c:pt>
                <c:pt idx="658">
                  <c:v>45197</c:v>
                </c:pt>
                <c:pt idx="659">
                  <c:v>45198</c:v>
                </c:pt>
                <c:pt idx="660">
                  <c:v>45202</c:v>
                </c:pt>
                <c:pt idx="661">
                  <c:v>45203</c:v>
                </c:pt>
                <c:pt idx="662">
                  <c:v>45204</c:v>
                </c:pt>
                <c:pt idx="663">
                  <c:v>45205</c:v>
                </c:pt>
                <c:pt idx="664">
                  <c:v>45208</c:v>
                </c:pt>
                <c:pt idx="665">
                  <c:v>45209</c:v>
                </c:pt>
                <c:pt idx="666">
                  <c:v>45210</c:v>
                </c:pt>
                <c:pt idx="667">
                  <c:v>45211</c:v>
                </c:pt>
                <c:pt idx="668">
                  <c:v>45212</c:v>
                </c:pt>
                <c:pt idx="669">
                  <c:v>45215</c:v>
                </c:pt>
                <c:pt idx="670">
                  <c:v>45216</c:v>
                </c:pt>
                <c:pt idx="671">
                  <c:v>45217</c:v>
                </c:pt>
                <c:pt idx="672">
                  <c:v>45218</c:v>
                </c:pt>
                <c:pt idx="673">
                  <c:v>45219</c:v>
                </c:pt>
                <c:pt idx="674">
                  <c:v>45222</c:v>
                </c:pt>
                <c:pt idx="675">
                  <c:v>45224</c:v>
                </c:pt>
                <c:pt idx="676">
                  <c:v>45225</c:v>
                </c:pt>
                <c:pt idx="677">
                  <c:v>45226</c:v>
                </c:pt>
                <c:pt idx="678">
                  <c:v>45229</c:v>
                </c:pt>
                <c:pt idx="679">
                  <c:v>45230</c:v>
                </c:pt>
                <c:pt idx="680">
                  <c:v>45231</c:v>
                </c:pt>
                <c:pt idx="681">
                  <c:v>45232</c:v>
                </c:pt>
                <c:pt idx="682">
                  <c:v>45233</c:v>
                </c:pt>
                <c:pt idx="683">
                  <c:v>45236</c:v>
                </c:pt>
                <c:pt idx="684">
                  <c:v>45237</c:v>
                </c:pt>
                <c:pt idx="685">
                  <c:v>45238</c:v>
                </c:pt>
                <c:pt idx="686">
                  <c:v>45239</c:v>
                </c:pt>
                <c:pt idx="687">
                  <c:v>45240</c:v>
                </c:pt>
                <c:pt idx="688">
                  <c:v>45243</c:v>
                </c:pt>
                <c:pt idx="689">
                  <c:v>45245</c:v>
                </c:pt>
                <c:pt idx="690">
                  <c:v>45246</c:v>
                </c:pt>
                <c:pt idx="691">
                  <c:v>45247</c:v>
                </c:pt>
                <c:pt idx="692">
                  <c:v>45250</c:v>
                </c:pt>
                <c:pt idx="693">
                  <c:v>45251</c:v>
                </c:pt>
                <c:pt idx="694">
                  <c:v>45252</c:v>
                </c:pt>
                <c:pt idx="695">
                  <c:v>45253</c:v>
                </c:pt>
                <c:pt idx="696">
                  <c:v>45254</c:v>
                </c:pt>
                <c:pt idx="697">
                  <c:v>45258</c:v>
                </c:pt>
                <c:pt idx="698">
                  <c:v>45259</c:v>
                </c:pt>
                <c:pt idx="699">
                  <c:v>45260</c:v>
                </c:pt>
                <c:pt idx="700">
                  <c:v>45261</c:v>
                </c:pt>
                <c:pt idx="701">
                  <c:v>45264</c:v>
                </c:pt>
                <c:pt idx="702">
                  <c:v>45265</c:v>
                </c:pt>
                <c:pt idx="703">
                  <c:v>45266</c:v>
                </c:pt>
                <c:pt idx="704">
                  <c:v>45267</c:v>
                </c:pt>
                <c:pt idx="705">
                  <c:v>45268</c:v>
                </c:pt>
                <c:pt idx="706">
                  <c:v>45271</c:v>
                </c:pt>
                <c:pt idx="707">
                  <c:v>45272</c:v>
                </c:pt>
                <c:pt idx="708">
                  <c:v>45273</c:v>
                </c:pt>
                <c:pt idx="709">
                  <c:v>45274</c:v>
                </c:pt>
                <c:pt idx="710">
                  <c:v>45275</c:v>
                </c:pt>
                <c:pt idx="711">
                  <c:v>45278</c:v>
                </c:pt>
                <c:pt idx="712">
                  <c:v>45279</c:v>
                </c:pt>
                <c:pt idx="713">
                  <c:v>45280</c:v>
                </c:pt>
                <c:pt idx="714">
                  <c:v>45281</c:v>
                </c:pt>
                <c:pt idx="715">
                  <c:v>45282</c:v>
                </c:pt>
                <c:pt idx="716">
                  <c:v>45286</c:v>
                </c:pt>
                <c:pt idx="717">
                  <c:v>45287</c:v>
                </c:pt>
                <c:pt idx="718">
                  <c:v>45288</c:v>
                </c:pt>
                <c:pt idx="719">
                  <c:v>45289</c:v>
                </c:pt>
                <c:pt idx="720">
                  <c:v>45292</c:v>
                </c:pt>
                <c:pt idx="721">
                  <c:v>45293</c:v>
                </c:pt>
                <c:pt idx="722">
                  <c:v>45294</c:v>
                </c:pt>
                <c:pt idx="723">
                  <c:v>45295</c:v>
                </c:pt>
                <c:pt idx="724">
                  <c:v>45296</c:v>
                </c:pt>
                <c:pt idx="725">
                  <c:v>45299</c:v>
                </c:pt>
                <c:pt idx="726">
                  <c:v>45300</c:v>
                </c:pt>
                <c:pt idx="727">
                  <c:v>45301</c:v>
                </c:pt>
                <c:pt idx="728">
                  <c:v>45302</c:v>
                </c:pt>
                <c:pt idx="729">
                  <c:v>45303</c:v>
                </c:pt>
                <c:pt idx="730">
                  <c:v>45306</c:v>
                </c:pt>
                <c:pt idx="731">
                  <c:v>45307</c:v>
                </c:pt>
                <c:pt idx="732">
                  <c:v>45308</c:v>
                </c:pt>
                <c:pt idx="733">
                  <c:v>45309</c:v>
                </c:pt>
                <c:pt idx="734">
                  <c:v>45310</c:v>
                </c:pt>
                <c:pt idx="735">
                  <c:v>45314</c:v>
                </c:pt>
                <c:pt idx="736">
                  <c:v>45315</c:v>
                </c:pt>
                <c:pt idx="737">
                  <c:v>45316</c:v>
                </c:pt>
                <c:pt idx="738">
                  <c:v>45320</c:v>
                </c:pt>
                <c:pt idx="739">
                  <c:v>45321</c:v>
                </c:pt>
                <c:pt idx="740">
                  <c:v>45322</c:v>
                </c:pt>
                <c:pt idx="741">
                  <c:v>45323</c:v>
                </c:pt>
                <c:pt idx="742">
                  <c:v>45324</c:v>
                </c:pt>
                <c:pt idx="743">
                  <c:v>45327</c:v>
                </c:pt>
                <c:pt idx="744">
                  <c:v>45328</c:v>
                </c:pt>
                <c:pt idx="745">
                  <c:v>45329</c:v>
                </c:pt>
                <c:pt idx="746">
                  <c:v>45330</c:v>
                </c:pt>
                <c:pt idx="747">
                  <c:v>45331</c:v>
                </c:pt>
                <c:pt idx="748">
                  <c:v>45334</c:v>
                </c:pt>
                <c:pt idx="749">
                  <c:v>45335</c:v>
                </c:pt>
                <c:pt idx="750">
                  <c:v>45336</c:v>
                </c:pt>
                <c:pt idx="751">
                  <c:v>45337</c:v>
                </c:pt>
                <c:pt idx="752">
                  <c:v>45338</c:v>
                </c:pt>
                <c:pt idx="753">
                  <c:v>45341</c:v>
                </c:pt>
                <c:pt idx="754">
                  <c:v>45342</c:v>
                </c:pt>
                <c:pt idx="755">
                  <c:v>45343</c:v>
                </c:pt>
                <c:pt idx="756">
                  <c:v>45344</c:v>
                </c:pt>
                <c:pt idx="757">
                  <c:v>45345</c:v>
                </c:pt>
                <c:pt idx="758">
                  <c:v>45348</c:v>
                </c:pt>
                <c:pt idx="759">
                  <c:v>45349</c:v>
                </c:pt>
                <c:pt idx="760">
                  <c:v>45350</c:v>
                </c:pt>
                <c:pt idx="761">
                  <c:v>45351</c:v>
                </c:pt>
                <c:pt idx="762">
                  <c:v>45352</c:v>
                </c:pt>
                <c:pt idx="763">
                  <c:v>45355</c:v>
                </c:pt>
                <c:pt idx="764">
                  <c:v>45356</c:v>
                </c:pt>
                <c:pt idx="765">
                  <c:v>45357</c:v>
                </c:pt>
                <c:pt idx="766">
                  <c:v>45358</c:v>
                </c:pt>
                <c:pt idx="767">
                  <c:v>45362</c:v>
                </c:pt>
                <c:pt idx="768">
                  <c:v>45363</c:v>
                </c:pt>
                <c:pt idx="769">
                  <c:v>45364</c:v>
                </c:pt>
                <c:pt idx="770">
                  <c:v>45365</c:v>
                </c:pt>
                <c:pt idx="771">
                  <c:v>45366</c:v>
                </c:pt>
                <c:pt idx="772">
                  <c:v>45369</c:v>
                </c:pt>
                <c:pt idx="773">
                  <c:v>45370</c:v>
                </c:pt>
                <c:pt idx="774">
                  <c:v>45371</c:v>
                </c:pt>
                <c:pt idx="775">
                  <c:v>45372</c:v>
                </c:pt>
                <c:pt idx="776">
                  <c:v>45373</c:v>
                </c:pt>
                <c:pt idx="777">
                  <c:v>45377</c:v>
                </c:pt>
                <c:pt idx="778">
                  <c:v>45378</c:v>
                </c:pt>
                <c:pt idx="779">
                  <c:v>45379</c:v>
                </c:pt>
                <c:pt idx="780">
                  <c:v>45383</c:v>
                </c:pt>
                <c:pt idx="781">
                  <c:v>45384</c:v>
                </c:pt>
                <c:pt idx="782">
                  <c:v>45385</c:v>
                </c:pt>
                <c:pt idx="783">
                  <c:v>45386</c:v>
                </c:pt>
                <c:pt idx="784">
                  <c:v>45387</c:v>
                </c:pt>
                <c:pt idx="785">
                  <c:v>45390</c:v>
                </c:pt>
                <c:pt idx="786">
                  <c:v>45391</c:v>
                </c:pt>
                <c:pt idx="787">
                  <c:v>45392</c:v>
                </c:pt>
                <c:pt idx="788">
                  <c:v>45394</c:v>
                </c:pt>
                <c:pt idx="789">
                  <c:v>45397</c:v>
                </c:pt>
                <c:pt idx="790">
                  <c:v>45398</c:v>
                </c:pt>
                <c:pt idx="791">
                  <c:v>45400</c:v>
                </c:pt>
                <c:pt idx="792">
                  <c:v>45401</c:v>
                </c:pt>
                <c:pt idx="793">
                  <c:v>45404</c:v>
                </c:pt>
                <c:pt idx="794">
                  <c:v>45405</c:v>
                </c:pt>
                <c:pt idx="795">
                  <c:v>45406</c:v>
                </c:pt>
                <c:pt idx="796">
                  <c:v>45407</c:v>
                </c:pt>
                <c:pt idx="797">
                  <c:v>45408</c:v>
                </c:pt>
                <c:pt idx="798">
                  <c:v>45411</c:v>
                </c:pt>
                <c:pt idx="799">
                  <c:v>45412</c:v>
                </c:pt>
                <c:pt idx="800">
                  <c:v>45414</c:v>
                </c:pt>
                <c:pt idx="801">
                  <c:v>45415</c:v>
                </c:pt>
                <c:pt idx="802">
                  <c:v>45418</c:v>
                </c:pt>
                <c:pt idx="803">
                  <c:v>45419</c:v>
                </c:pt>
                <c:pt idx="804">
                  <c:v>45420</c:v>
                </c:pt>
                <c:pt idx="805">
                  <c:v>45421</c:v>
                </c:pt>
                <c:pt idx="806">
                  <c:v>45422</c:v>
                </c:pt>
                <c:pt idx="807">
                  <c:v>45425</c:v>
                </c:pt>
                <c:pt idx="808">
                  <c:v>45426</c:v>
                </c:pt>
                <c:pt idx="809">
                  <c:v>45427</c:v>
                </c:pt>
                <c:pt idx="810">
                  <c:v>45428</c:v>
                </c:pt>
                <c:pt idx="811">
                  <c:v>45429</c:v>
                </c:pt>
                <c:pt idx="812">
                  <c:v>45433</c:v>
                </c:pt>
                <c:pt idx="813">
                  <c:v>45434</c:v>
                </c:pt>
                <c:pt idx="814">
                  <c:v>45435</c:v>
                </c:pt>
                <c:pt idx="815">
                  <c:v>45436</c:v>
                </c:pt>
                <c:pt idx="816">
                  <c:v>45439</c:v>
                </c:pt>
                <c:pt idx="817">
                  <c:v>45440</c:v>
                </c:pt>
                <c:pt idx="818">
                  <c:v>45441</c:v>
                </c:pt>
                <c:pt idx="819">
                  <c:v>45442</c:v>
                </c:pt>
                <c:pt idx="820">
                  <c:v>45443</c:v>
                </c:pt>
                <c:pt idx="821">
                  <c:v>45446</c:v>
                </c:pt>
                <c:pt idx="822">
                  <c:v>45447</c:v>
                </c:pt>
                <c:pt idx="823">
                  <c:v>45448</c:v>
                </c:pt>
                <c:pt idx="824">
                  <c:v>45449</c:v>
                </c:pt>
                <c:pt idx="825">
                  <c:v>45450</c:v>
                </c:pt>
                <c:pt idx="826">
                  <c:v>45453</c:v>
                </c:pt>
                <c:pt idx="827">
                  <c:v>45454</c:v>
                </c:pt>
                <c:pt idx="828">
                  <c:v>45455</c:v>
                </c:pt>
                <c:pt idx="829">
                  <c:v>45456</c:v>
                </c:pt>
                <c:pt idx="830">
                  <c:v>45457</c:v>
                </c:pt>
                <c:pt idx="831">
                  <c:v>45461</c:v>
                </c:pt>
                <c:pt idx="832">
                  <c:v>45462</c:v>
                </c:pt>
                <c:pt idx="833">
                  <c:v>45463</c:v>
                </c:pt>
                <c:pt idx="834">
                  <c:v>45464</c:v>
                </c:pt>
                <c:pt idx="835">
                  <c:v>45467</c:v>
                </c:pt>
                <c:pt idx="836">
                  <c:v>45468</c:v>
                </c:pt>
                <c:pt idx="837">
                  <c:v>45469</c:v>
                </c:pt>
                <c:pt idx="838">
                  <c:v>45470</c:v>
                </c:pt>
                <c:pt idx="839">
                  <c:v>45471</c:v>
                </c:pt>
                <c:pt idx="840">
                  <c:v>45474</c:v>
                </c:pt>
                <c:pt idx="841">
                  <c:v>45475</c:v>
                </c:pt>
                <c:pt idx="842">
                  <c:v>45476</c:v>
                </c:pt>
                <c:pt idx="843">
                  <c:v>45477</c:v>
                </c:pt>
                <c:pt idx="844">
                  <c:v>45478</c:v>
                </c:pt>
                <c:pt idx="845">
                  <c:v>45481</c:v>
                </c:pt>
                <c:pt idx="846">
                  <c:v>45482</c:v>
                </c:pt>
                <c:pt idx="847">
                  <c:v>45483</c:v>
                </c:pt>
                <c:pt idx="848">
                  <c:v>45484</c:v>
                </c:pt>
                <c:pt idx="849">
                  <c:v>45485</c:v>
                </c:pt>
                <c:pt idx="850">
                  <c:v>45488</c:v>
                </c:pt>
                <c:pt idx="851">
                  <c:v>45489</c:v>
                </c:pt>
                <c:pt idx="852">
                  <c:v>45491</c:v>
                </c:pt>
                <c:pt idx="853">
                  <c:v>45492</c:v>
                </c:pt>
                <c:pt idx="854">
                  <c:v>45495</c:v>
                </c:pt>
                <c:pt idx="855">
                  <c:v>45496</c:v>
                </c:pt>
                <c:pt idx="856">
                  <c:v>45497</c:v>
                </c:pt>
                <c:pt idx="857">
                  <c:v>45498</c:v>
                </c:pt>
                <c:pt idx="858">
                  <c:v>45499</c:v>
                </c:pt>
                <c:pt idx="859">
                  <c:v>45502</c:v>
                </c:pt>
                <c:pt idx="860">
                  <c:v>45503</c:v>
                </c:pt>
                <c:pt idx="861">
                  <c:v>45504</c:v>
                </c:pt>
                <c:pt idx="862">
                  <c:v>45505</c:v>
                </c:pt>
                <c:pt idx="863">
                  <c:v>45506</c:v>
                </c:pt>
                <c:pt idx="864">
                  <c:v>45509</c:v>
                </c:pt>
                <c:pt idx="865">
                  <c:v>45510</c:v>
                </c:pt>
                <c:pt idx="866">
                  <c:v>45511</c:v>
                </c:pt>
                <c:pt idx="867">
                  <c:v>45512</c:v>
                </c:pt>
                <c:pt idx="868">
                  <c:v>45513</c:v>
                </c:pt>
                <c:pt idx="869">
                  <c:v>45516</c:v>
                </c:pt>
                <c:pt idx="870">
                  <c:v>45517</c:v>
                </c:pt>
                <c:pt idx="871">
                  <c:v>45518</c:v>
                </c:pt>
                <c:pt idx="872">
                  <c:v>45520</c:v>
                </c:pt>
                <c:pt idx="873">
                  <c:v>45523</c:v>
                </c:pt>
                <c:pt idx="874">
                  <c:v>45524</c:v>
                </c:pt>
                <c:pt idx="875">
                  <c:v>45525</c:v>
                </c:pt>
                <c:pt idx="876">
                  <c:v>45526</c:v>
                </c:pt>
                <c:pt idx="877">
                  <c:v>45527</c:v>
                </c:pt>
                <c:pt idx="878">
                  <c:v>45530</c:v>
                </c:pt>
                <c:pt idx="879">
                  <c:v>45531</c:v>
                </c:pt>
                <c:pt idx="880">
                  <c:v>45532</c:v>
                </c:pt>
                <c:pt idx="881">
                  <c:v>45533</c:v>
                </c:pt>
                <c:pt idx="882">
                  <c:v>45534</c:v>
                </c:pt>
                <c:pt idx="883">
                  <c:v>45537</c:v>
                </c:pt>
                <c:pt idx="884">
                  <c:v>45538</c:v>
                </c:pt>
                <c:pt idx="885">
                  <c:v>45539</c:v>
                </c:pt>
                <c:pt idx="886">
                  <c:v>45540</c:v>
                </c:pt>
                <c:pt idx="887">
                  <c:v>45541</c:v>
                </c:pt>
                <c:pt idx="888">
                  <c:v>45544</c:v>
                </c:pt>
                <c:pt idx="889">
                  <c:v>45545</c:v>
                </c:pt>
                <c:pt idx="890">
                  <c:v>45546</c:v>
                </c:pt>
                <c:pt idx="891">
                  <c:v>45547</c:v>
                </c:pt>
                <c:pt idx="892">
                  <c:v>45548</c:v>
                </c:pt>
                <c:pt idx="893">
                  <c:v>45551</c:v>
                </c:pt>
                <c:pt idx="894">
                  <c:v>45552</c:v>
                </c:pt>
                <c:pt idx="895">
                  <c:v>45553</c:v>
                </c:pt>
                <c:pt idx="896">
                  <c:v>45554</c:v>
                </c:pt>
                <c:pt idx="897">
                  <c:v>45555</c:v>
                </c:pt>
                <c:pt idx="898">
                  <c:v>45558</c:v>
                </c:pt>
                <c:pt idx="899">
                  <c:v>45559</c:v>
                </c:pt>
                <c:pt idx="900">
                  <c:v>45560</c:v>
                </c:pt>
                <c:pt idx="901">
                  <c:v>45561</c:v>
                </c:pt>
                <c:pt idx="902">
                  <c:v>45562</c:v>
                </c:pt>
                <c:pt idx="903">
                  <c:v>45565</c:v>
                </c:pt>
                <c:pt idx="904">
                  <c:v>45566</c:v>
                </c:pt>
                <c:pt idx="905">
                  <c:v>45568</c:v>
                </c:pt>
                <c:pt idx="906">
                  <c:v>45569</c:v>
                </c:pt>
                <c:pt idx="907">
                  <c:v>45572</c:v>
                </c:pt>
                <c:pt idx="908">
                  <c:v>45573</c:v>
                </c:pt>
                <c:pt idx="909">
                  <c:v>45574</c:v>
                </c:pt>
                <c:pt idx="910">
                  <c:v>45575</c:v>
                </c:pt>
                <c:pt idx="911">
                  <c:v>45576</c:v>
                </c:pt>
                <c:pt idx="912">
                  <c:v>45579</c:v>
                </c:pt>
                <c:pt idx="913">
                  <c:v>45580</c:v>
                </c:pt>
                <c:pt idx="914">
                  <c:v>45581</c:v>
                </c:pt>
                <c:pt idx="915">
                  <c:v>45582</c:v>
                </c:pt>
                <c:pt idx="916">
                  <c:v>45583</c:v>
                </c:pt>
                <c:pt idx="917">
                  <c:v>45586</c:v>
                </c:pt>
                <c:pt idx="918">
                  <c:v>45587</c:v>
                </c:pt>
                <c:pt idx="919">
                  <c:v>45588</c:v>
                </c:pt>
                <c:pt idx="920">
                  <c:v>45589</c:v>
                </c:pt>
                <c:pt idx="921">
                  <c:v>45590</c:v>
                </c:pt>
                <c:pt idx="922">
                  <c:v>45593</c:v>
                </c:pt>
                <c:pt idx="923">
                  <c:v>45594</c:v>
                </c:pt>
                <c:pt idx="924">
                  <c:v>45595</c:v>
                </c:pt>
                <c:pt idx="925">
                  <c:v>45596</c:v>
                </c:pt>
                <c:pt idx="926">
                  <c:v>45600</c:v>
                </c:pt>
                <c:pt idx="927">
                  <c:v>45601</c:v>
                </c:pt>
                <c:pt idx="928">
                  <c:v>45602</c:v>
                </c:pt>
                <c:pt idx="929">
                  <c:v>45603</c:v>
                </c:pt>
                <c:pt idx="930">
                  <c:v>45604</c:v>
                </c:pt>
                <c:pt idx="931">
                  <c:v>45607</c:v>
                </c:pt>
                <c:pt idx="932">
                  <c:v>45608</c:v>
                </c:pt>
                <c:pt idx="933">
                  <c:v>45609</c:v>
                </c:pt>
                <c:pt idx="934">
                  <c:v>45610</c:v>
                </c:pt>
                <c:pt idx="935">
                  <c:v>45614</c:v>
                </c:pt>
                <c:pt idx="936">
                  <c:v>45615</c:v>
                </c:pt>
                <c:pt idx="937">
                  <c:v>45617</c:v>
                </c:pt>
                <c:pt idx="938">
                  <c:v>45618</c:v>
                </c:pt>
                <c:pt idx="939">
                  <c:v>45621</c:v>
                </c:pt>
                <c:pt idx="940">
                  <c:v>45622</c:v>
                </c:pt>
                <c:pt idx="941">
                  <c:v>45623</c:v>
                </c:pt>
                <c:pt idx="942">
                  <c:v>45624</c:v>
                </c:pt>
                <c:pt idx="943">
                  <c:v>45625</c:v>
                </c:pt>
                <c:pt idx="944">
                  <c:v>45628</c:v>
                </c:pt>
                <c:pt idx="945">
                  <c:v>45629</c:v>
                </c:pt>
                <c:pt idx="946">
                  <c:v>45630</c:v>
                </c:pt>
                <c:pt idx="947">
                  <c:v>45631</c:v>
                </c:pt>
                <c:pt idx="948">
                  <c:v>45632</c:v>
                </c:pt>
                <c:pt idx="949">
                  <c:v>45635</c:v>
                </c:pt>
                <c:pt idx="950">
                  <c:v>45636</c:v>
                </c:pt>
                <c:pt idx="951">
                  <c:v>45637</c:v>
                </c:pt>
                <c:pt idx="952">
                  <c:v>45638</c:v>
                </c:pt>
                <c:pt idx="953">
                  <c:v>45639</c:v>
                </c:pt>
                <c:pt idx="954">
                  <c:v>45642</c:v>
                </c:pt>
                <c:pt idx="955">
                  <c:v>45643</c:v>
                </c:pt>
                <c:pt idx="956">
                  <c:v>45644</c:v>
                </c:pt>
                <c:pt idx="957">
                  <c:v>45645</c:v>
                </c:pt>
                <c:pt idx="958">
                  <c:v>45646</c:v>
                </c:pt>
                <c:pt idx="959">
                  <c:v>45649</c:v>
                </c:pt>
                <c:pt idx="960">
                  <c:v>45650</c:v>
                </c:pt>
                <c:pt idx="961">
                  <c:v>45652</c:v>
                </c:pt>
                <c:pt idx="962">
                  <c:v>45653</c:v>
                </c:pt>
                <c:pt idx="963">
                  <c:v>45656</c:v>
                </c:pt>
                <c:pt idx="964">
                  <c:v>45657</c:v>
                </c:pt>
                <c:pt idx="965">
                  <c:v>45658</c:v>
                </c:pt>
                <c:pt idx="966">
                  <c:v>45659</c:v>
                </c:pt>
                <c:pt idx="967">
                  <c:v>45660</c:v>
                </c:pt>
                <c:pt idx="968">
                  <c:v>45663</c:v>
                </c:pt>
                <c:pt idx="969">
                  <c:v>45664</c:v>
                </c:pt>
                <c:pt idx="970">
                  <c:v>45665</c:v>
                </c:pt>
                <c:pt idx="971">
                  <c:v>45666</c:v>
                </c:pt>
                <c:pt idx="972">
                  <c:v>45667</c:v>
                </c:pt>
                <c:pt idx="973">
                  <c:v>45670</c:v>
                </c:pt>
                <c:pt idx="974">
                  <c:v>45671</c:v>
                </c:pt>
                <c:pt idx="975">
                  <c:v>45672</c:v>
                </c:pt>
                <c:pt idx="976">
                  <c:v>45673</c:v>
                </c:pt>
                <c:pt idx="977">
                  <c:v>45674</c:v>
                </c:pt>
                <c:pt idx="978">
                  <c:v>45677</c:v>
                </c:pt>
                <c:pt idx="979">
                  <c:v>45678</c:v>
                </c:pt>
                <c:pt idx="980">
                  <c:v>45679</c:v>
                </c:pt>
                <c:pt idx="981">
                  <c:v>45680</c:v>
                </c:pt>
                <c:pt idx="982">
                  <c:v>45681</c:v>
                </c:pt>
                <c:pt idx="983">
                  <c:v>45684</c:v>
                </c:pt>
                <c:pt idx="984">
                  <c:v>45685</c:v>
                </c:pt>
                <c:pt idx="985">
                  <c:v>45686</c:v>
                </c:pt>
                <c:pt idx="986">
                  <c:v>45687</c:v>
                </c:pt>
                <c:pt idx="987">
                  <c:v>45688</c:v>
                </c:pt>
                <c:pt idx="988">
                  <c:v>45691</c:v>
                </c:pt>
                <c:pt idx="989">
                  <c:v>45692</c:v>
                </c:pt>
                <c:pt idx="990">
                  <c:v>45693</c:v>
                </c:pt>
                <c:pt idx="991">
                  <c:v>45694</c:v>
                </c:pt>
                <c:pt idx="992">
                  <c:v>45695</c:v>
                </c:pt>
                <c:pt idx="993">
                  <c:v>45698</c:v>
                </c:pt>
                <c:pt idx="994">
                  <c:v>45699</c:v>
                </c:pt>
                <c:pt idx="995">
                  <c:v>45700</c:v>
                </c:pt>
                <c:pt idx="996">
                  <c:v>45701</c:v>
                </c:pt>
                <c:pt idx="997">
                  <c:v>45702</c:v>
                </c:pt>
                <c:pt idx="998">
                  <c:v>45705</c:v>
                </c:pt>
                <c:pt idx="999">
                  <c:v>45706</c:v>
                </c:pt>
                <c:pt idx="1000">
                  <c:v>45707</c:v>
                </c:pt>
                <c:pt idx="1001">
                  <c:v>45708</c:v>
                </c:pt>
                <c:pt idx="1002">
                  <c:v>45709</c:v>
                </c:pt>
                <c:pt idx="1003">
                  <c:v>45712</c:v>
                </c:pt>
                <c:pt idx="1004">
                  <c:v>45713</c:v>
                </c:pt>
                <c:pt idx="1005">
                  <c:v>45715</c:v>
                </c:pt>
                <c:pt idx="1006">
                  <c:v>45716</c:v>
                </c:pt>
              </c:numCache>
            </c:numRef>
          </c:cat>
          <c:val>
            <c:numRef>
              <c:f>Sheet2!$C$2:$C$1008</c:f>
              <c:numCache>
                <c:formatCode>General</c:formatCode>
                <c:ptCount val="1007"/>
                <c:pt idx="0">
                  <c:v>57744414</c:v>
                </c:pt>
                <c:pt idx="1">
                  <c:v>48457781</c:v>
                </c:pt>
                <c:pt idx="2">
                  <c:v>53643263</c:v>
                </c:pt>
                <c:pt idx="3">
                  <c:v>105818897</c:v>
                </c:pt>
                <c:pt idx="4">
                  <c:v>125490301</c:v>
                </c:pt>
                <c:pt idx="5">
                  <c:v>41495834</c:v>
                </c:pt>
                <c:pt idx="6">
                  <c:v>70655961</c:v>
                </c:pt>
                <c:pt idx="7">
                  <c:v>47283127</c:v>
                </c:pt>
                <c:pt idx="8">
                  <c:v>43631374</c:v>
                </c:pt>
                <c:pt idx="9">
                  <c:v>110568108</c:v>
                </c:pt>
                <c:pt idx="10">
                  <c:v>31776555</c:v>
                </c:pt>
                <c:pt idx="11">
                  <c:v>29148891</c:v>
                </c:pt>
                <c:pt idx="12">
                  <c:v>19850516</c:v>
                </c:pt>
                <c:pt idx="13">
                  <c:v>24070563</c:v>
                </c:pt>
                <c:pt idx="14">
                  <c:v>28125203</c:v>
                </c:pt>
                <c:pt idx="15">
                  <c:v>51546288</c:v>
                </c:pt>
                <c:pt idx="16">
                  <c:v>26675953</c:v>
                </c:pt>
                <c:pt idx="17">
                  <c:v>13160617</c:v>
                </c:pt>
                <c:pt idx="18">
                  <c:v>25954142</c:v>
                </c:pt>
                <c:pt idx="19">
                  <c:v>43429293</c:v>
                </c:pt>
                <c:pt idx="20">
                  <c:v>16225536</c:v>
                </c:pt>
                <c:pt idx="21">
                  <c:v>25604169</c:v>
                </c:pt>
                <c:pt idx="22">
                  <c:v>20846117</c:v>
                </c:pt>
                <c:pt idx="23">
                  <c:v>24899212</c:v>
                </c:pt>
                <c:pt idx="24">
                  <c:v>17323590</c:v>
                </c:pt>
                <c:pt idx="25">
                  <c:v>22988740</c:v>
                </c:pt>
                <c:pt idx="26">
                  <c:v>22593086</c:v>
                </c:pt>
                <c:pt idx="27">
                  <c:v>19603214</c:v>
                </c:pt>
                <c:pt idx="28">
                  <c:v>30787960</c:v>
                </c:pt>
                <c:pt idx="29">
                  <c:v>41115906</c:v>
                </c:pt>
                <c:pt idx="30">
                  <c:v>48763187</c:v>
                </c:pt>
                <c:pt idx="31">
                  <c:v>78578698</c:v>
                </c:pt>
                <c:pt idx="32">
                  <c:v>91993104</c:v>
                </c:pt>
                <c:pt idx="33">
                  <c:v>134184994</c:v>
                </c:pt>
                <c:pt idx="34">
                  <c:v>46050245</c:v>
                </c:pt>
                <c:pt idx="35">
                  <c:v>41564683</c:v>
                </c:pt>
                <c:pt idx="36">
                  <c:v>27609243</c:v>
                </c:pt>
                <c:pt idx="37">
                  <c:v>40681282</c:v>
                </c:pt>
                <c:pt idx="38">
                  <c:v>26079435</c:v>
                </c:pt>
                <c:pt idx="39">
                  <c:v>27792437</c:v>
                </c:pt>
                <c:pt idx="40">
                  <c:v>36485322</c:v>
                </c:pt>
                <c:pt idx="41">
                  <c:v>29062762</c:v>
                </c:pt>
                <c:pt idx="42">
                  <c:v>31378045</c:v>
                </c:pt>
                <c:pt idx="43">
                  <c:v>25674227</c:v>
                </c:pt>
                <c:pt idx="44">
                  <c:v>15204883</c:v>
                </c:pt>
                <c:pt idx="45">
                  <c:v>14116874</c:v>
                </c:pt>
                <c:pt idx="46">
                  <c:v>16364247</c:v>
                </c:pt>
                <c:pt idx="47">
                  <c:v>34511670</c:v>
                </c:pt>
                <c:pt idx="48">
                  <c:v>20247639</c:v>
                </c:pt>
                <c:pt idx="49">
                  <c:v>17530742</c:v>
                </c:pt>
                <c:pt idx="50">
                  <c:v>13311926</c:v>
                </c:pt>
                <c:pt idx="51">
                  <c:v>15792299</c:v>
                </c:pt>
                <c:pt idx="52">
                  <c:v>21364882</c:v>
                </c:pt>
                <c:pt idx="53">
                  <c:v>23139735</c:v>
                </c:pt>
                <c:pt idx="54">
                  <c:v>19625381</c:v>
                </c:pt>
                <c:pt idx="55">
                  <c:v>19886214</c:v>
                </c:pt>
                <c:pt idx="56">
                  <c:v>11444814</c:v>
                </c:pt>
                <c:pt idx="57">
                  <c:v>12708021</c:v>
                </c:pt>
                <c:pt idx="58">
                  <c:v>13096755</c:v>
                </c:pt>
                <c:pt idx="59">
                  <c:v>16495657</c:v>
                </c:pt>
                <c:pt idx="60">
                  <c:v>20611626</c:v>
                </c:pt>
                <c:pt idx="61">
                  <c:v>18259282</c:v>
                </c:pt>
                <c:pt idx="62">
                  <c:v>13862655</c:v>
                </c:pt>
                <c:pt idx="63">
                  <c:v>14320889</c:v>
                </c:pt>
                <c:pt idx="64">
                  <c:v>19463495</c:v>
                </c:pt>
                <c:pt idx="65">
                  <c:v>16295368</c:v>
                </c:pt>
                <c:pt idx="66">
                  <c:v>13747541</c:v>
                </c:pt>
                <c:pt idx="67">
                  <c:v>16537612</c:v>
                </c:pt>
                <c:pt idx="68">
                  <c:v>61647120</c:v>
                </c:pt>
                <c:pt idx="69">
                  <c:v>38001828</c:v>
                </c:pt>
                <c:pt idx="70">
                  <c:v>30479551</c:v>
                </c:pt>
                <c:pt idx="71">
                  <c:v>24405319</c:v>
                </c:pt>
                <c:pt idx="72">
                  <c:v>20884367</c:v>
                </c:pt>
                <c:pt idx="73">
                  <c:v>22638020</c:v>
                </c:pt>
                <c:pt idx="74">
                  <c:v>28865798</c:v>
                </c:pt>
                <c:pt idx="75">
                  <c:v>25334878</c:v>
                </c:pt>
                <c:pt idx="76">
                  <c:v>17576137</c:v>
                </c:pt>
                <c:pt idx="77">
                  <c:v>47554219</c:v>
                </c:pt>
                <c:pt idx="78">
                  <c:v>25597550</c:v>
                </c:pt>
                <c:pt idx="79">
                  <c:v>73039531</c:v>
                </c:pt>
                <c:pt idx="80">
                  <c:v>38755111</c:v>
                </c:pt>
                <c:pt idx="81">
                  <c:v>96654991</c:v>
                </c:pt>
                <c:pt idx="82">
                  <c:v>46657520</c:v>
                </c:pt>
                <c:pt idx="83">
                  <c:v>30126021</c:v>
                </c:pt>
                <c:pt idx="84">
                  <c:v>31433280</c:v>
                </c:pt>
                <c:pt idx="85">
                  <c:v>21261361</c:v>
                </c:pt>
                <c:pt idx="86">
                  <c:v>24887924</c:v>
                </c:pt>
                <c:pt idx="87">
                  <c:v>30719587</c:v>
                </c:pt>
                <c:pt idx="88">
                  <c:v>21424291</c:v>
                </c:pt>
                <c:pt idx="89">
                  <c:v>17677889</c:v>
                </c:pt>
                <c:pt idx="90">
                  <c:v>14854294</c:v>
                </c:pt>
                <c:pt idx="91">
                  <c:v>20104244</c:v>
                </c:pt>
                <c:pt idx="92">
                  <c:v>21476893</c:v>
                </c:pt>
                <c:pt idx="93">
                  <c:v>23567549</c:v>
                </c:pt>
                <c:pt idx="94">
                  <c:v>19074685</c:v>
                </c:pt>
                <c:pt idx="95">
                  <c:v>18042675</c:v>
                </c:pt>
                <c:pt idx="96">
                  <c:v>12575210</c:v>
                </c:pt>
                <c:pt idx="97">
                  <c:v>22435272</c:v>
                </c:pt>
                <c:pt idx="98">
                  <c:v>13877208</c:v>
                </c:pt>
                <c:pt idx="99">
                  <c:v>14627153</c:v>
                </c:pt>
                <c:pt idx="100">
                  <c:v>13326068</c:v>
                </c:pt>
                <c:pt idx="101">
                  <c:v>15942408</c:v>
                </c:pt>
                <c:pt idx="102">
                  <c:v>10191296</c:v>
                </c:pt>
                <c:pt idx="103">
                  <c:v>12698779</c:v>
                </c:pt>
                <c:pt idx="104">
                  <c:v>10248249</c:v>
                </c:pt>
                <c:pt idx="105">
                  <c:v>11088659</c:v>
                </c:pt>
                <c:pt idx="106">
                  <c:v>17879443</c:v>
                </c:pt>
                <c:pt idx="107">
                  <c:v>20925008</c:v>
                </c:pt>
                <c:pt idx="108">
                  <c:v>11834045</c:v>
                </c:pt>
                <c:pt idx="109">
                  <c:v>13085323</c:v>
                </c:pt>
                <c:pt idx="110">
                  <c:v>10830411</c:v>
                </c:pt>
                <c:pt idx="111">
                  <c:v>20480406</c:v>
                </c:pt>
                <c:pt idx="112">
                  <c:v>28852257</c:v>
                </c:pt>
                <c:pt idx="113">
                  <c:v>29019824</c:v>
                </c:pt>
                <c:pt idx="114">
                  <c:v>16464973</c:v>
                </c:pt>
                <c:pt idx="115">
                  <c:v>23656813</c:v>
                </c:pt>
                <c:pt idx="116">
                  <c:v>18311537</c:v>
                </c:pt>
                <c:pt idx="117">
                  <c:v>44526781</c:v>
                </c:pt>
                <c:pt idx="118">
                  <c:v>47263771</c:v>
                </c:pt>
                <c:pt idx="119">
                  <c:v>24436949</c:v>
                </c:pt>
                <c:pt idx="120">
                  <c:v>14736840</c:v>
                </c:pt>
                <c:pt idx="121">
                  <c:v>15603733</c:v>
                </c:pt>
                <c:pt idx="122">
                  <c:v>14940336</c:v>
                </c:pt>
                <c:pt idx="123">
                  <c:v>9674128</c:v>
                </c:pt>
                <c:pt idx="124">
                  <c:v>18468527</c:v>
                </c:pt>
                <c:pt idx="125">
                  <c:v>10998260</c:v>
                </c:pt>
                <c:pt idx="126">
                  <c:v>47178466</c:v>
                </c:pt>
                <c:pt idx="127">
                  <c:v>23581637</c:v>
                </c:pt>
                <c:pt idx="128">
                  <c:v>20358146</c:v>
                </c:pt>
                <c:pt idx="129">
                  <c:v>18155926</c:v>
                </c:pt>
                <c:pt idx="130">
                  <c:v>15418634</c:v>
                </c:pt>
                <c:pt idx="131">
                  <c:v>27692208</c:v>
                </c:pt>
                <c:pt idx="132">
                  <c:v>18850939</c:v>
                </c:pt>
                <c:pt idx="133">
                  <c:v>11190075</c:v>
                </c:pt>
                <c:pt idx="134">
                  <c:v>7858486</c:v>
                </c:pt>
                <c:pt idx="135">
                  <c:v>10735658</c:v>
                </c:pt>
                <c:pt idx="136">
                  <c:v>19421004</c:v>
                </c:pt>
                <c:pt idx="137">
                  <c:v>9936365</c:v>
                </c:pt>
                <c:pt idx="138">
                  <c:v>12490094</c:v>
                </c:pt>
                <c:pt idx="139">
                  <c:v>10586894</c:v>
                </c:pt>
                <c:pt idx="140">
                  <c:v>14836173</c:v>
                </c:pt>
                <c:pt idx="141">
                  <c:v>10476384</c:v>
                </c:pt>
                <c:pt idx="142">
                  <c:v>12084844</c:v>
                </c:pt>
                <c:pt idx="143">
                  <c:v>25808430</c:v>
                </c:pt>
                <c:pt idx="144">
                  <c:v>16241960</c:v>
                </c:pt>
                <c:pt idx="145">
                  <c:v>14321164</c:v>
                </c:pt>
                <c:pt idx="146">
                  <c:v>10228853</c:v>
                </c:pt>
                <c:pt idx="147">
                  <c:v>10632156</c:v>
                </c:pt>
                <c:pt idx="148">
                  <c:v>37489544</c:v>
                </c:pt>
                <c:pt idx="149">
                  <c:v>17233315</c:v>
                </c:pt>
                <c:pt idx="150">
                  <c:v>19051252</c:v>
                </c:pt>
                <c:pt idx="151">
                  <c:v>16043896</c:v>
                </c:pt>
                <c:pt idx="152">
                  <c:v>19621849</c:v>
                </c:pt>
                <c:pt idx="153">
                  <c:v>20248758</c:v>
                </c:pt>
                <c:pt idx="154">
                  <c:v>149238901</c:v>
                </c:pt>
                <c:pt idx="155">
                  <c:v>79501805</c:v>
                </c:pt>
                <c:pt idx="156">
                  <c:v>70390969</c:v>
                </c:pt>
                <c:pt idx="157">
                  <c:v>56671832</c:v>
                </c:pt>
                <c:pt idx="158">
                  <c:v>52621868</c:v>
                </c:pt>
                <c:pt idx="159">
                  <c:v>21791090</c:v>
                </c:pt>
                <c:pt idx="160">
                  <c:v>24823291</c:v>
                </c:pt>
                <c:pt idx="161">
                  <c:v>22890540</c:v>
                </c:pt>
                <c:pt idx="162">
                  <c:v>15713947</c:v>
                </c:pt>
                <c:pt idx="163">
                  <c:v>15450046</c:v>
                </c:pt>
                <c:pt idx="164">
                  <c:v>16357902</c:v>
                </c:pt>
                <c:pt idx="165">
                  <c:v>15956143</c:v>
                </c:pt>
                <c:pt idx="166">
                  <c:v>10686552</c:v>
                </c:pt>
                <c:pt idx="167">
                  <c:v>9223597</c:v>
                </c:pt>
                <c:pt idx="168">
                  <c:v>17505160</c:v>
                </c:pt>
                <c:pt idx="169">
                  <c:v>10371535</c:v>
                </c:pt>
                <c:pt idx="170">
                  <c:v>9739240</c:v>
                </c:pt>
                <c:pt idx="171">
                  <c:v>21184428</c:v>
                </c:pt>
                <c:pt idx="172">
                  <c:v>29222028</c:v>
                </c:pt>
                <c:pt idx="173">
                  <c:v>50159625</c:v>
                </c:pt>
                <c:pt idx="174">
                  <c:v>85406902</c:v>
                </c:pt>
                <c:pt idx="175">
                  <c:v>60292901</c:v>
                </c:pt>
                <c:pt idx="176">
                  <c:v>59061766</c:v>
                </c:pt>
                <c:pt idx="177">
                  <c:v>47822165</c:v>
                </c:pt>
                <c:pt idx="178">
                  <c:v>22518727</c:v>
                </c:pt>
                <c:pt idx="179">
                  <c:v>35537151</c:v>
                </c:pt>
                <c:pt idx="180">
                  <c:v>22333919</c:v>
                </c:pt>
                <c:pt idx="181">
                  <c:v>18934170</c:v>
                </c:pt>
                <c:pt idx="182">
                  <c:v>25911499</c:v>
                </c:pt>
                <c:pt idx="183">
                  <c:v>46282465</c:v>
                </c:pt>
                <c:pt idx="184">
                  <c:v>26642108</c:v>
                </c:pt>
                <c:pt idx="185">
                  <c:v>23197539</c:v>
                </c:pt>
                <c:pt idx="186">
                  <c:v>14343859</c:v>
                </c:pt>
                <c:pt idx="187">
                  <c:v>17843327</c:v>
                </c:pt>
                <c:pt idx="188">
                  <c:v>7024796</c:v>
                </c:pt>
                <c:pt idx="189">
                  <c:v>20270558</c:v>
                </c:pt>
                <c:pt idx="190">
                  <c:v>11520817</c:v>
                </c:pt>
                <c:pt idx="191">
                  <c:v>13431108</c:v>
                </c:pt>
                <c:pt idx="192">
                  <c:v>8134962</c:v>
                </c:pt>
                <c:pt idx="193">
                  <c:v>11855531</c:v>
                </c:pt>
                <c:pt idx="194">
                  <c:v>38755267</c:v>
                </c:pt>
                <c:pt idx="195">
                  <c:v>14675969</c:v>
                </c:pt>
                <c:pt idx="196">
                  <c:v>46697822</c:v>
                </c:pt>
                <c:pt idx="197">
                  <c:v>20226071</c:v>
                </c:pt>
                <c:pt idx="198">
                  <c:v>22574227</c:v>
                </c:pt>
                <c:pt idx="199">
                  <c:v>13433385</c:v>
                </c:pt>
                <c:pt idx="200">
                  <c:v>14139854</c:v>
                </c:pt>
                <c:pt idx="201">
                  <c:v>23904846</c:v>
                </c:pt>
                <c:pt idx="202">
                  <c:v>27027022</c:v>
                </c:pt>
                <c:pt idx="203">
                  <c:v>22132952</c:v>
                </c:pt>
                <c:pt idx="204">
                  <c:v>23503453</c:v>
                </c:pt>
                <c:pt idx="205">
                  <c:v>12995800</c:v>
                </c:pt>
                <c:pt idx="206">
                  <c:v>15904846</c:v>
                </c:pt>
                <c:pt idx="207">
                  <c:v>13794647</c:v>
                </c:pt>
                <c:pt idx="208">
                  <c:v>13138355</c:v>
                </c:pt>
                <c:pt idx="209">
                  <c:v>8903842</c:v>
                </c:pt>
                <c:pt idx="210">
                  <c:v>9861847</c:v>
                </c:pt>
                <c:pt idx="211">
                  <c:v>38241864</c:v>
                </c:pt>
                <c:pt idx="212">
                  <c:v>35162889</c:v>
                </c:pt>
                <c:pt idx="213">
                  <c:v>22054342</c:v>
                </c:pt>
                <c:pt idx="214">
                  <c:v>37508445</c:v>
                </c:pt>
                <c:pt idx="215">
                  <c:v>34653042</c:v>
                </c:pt>
                <c:pt idx="216">
                  <c:v>24199205</c:v>
                </c:pt>
                <c:pt idx="217">
                  <c:v>29683982</c:v>
                </c:pt>
                <c:pt idx="218">
                  <c:v>37340790</c:v>
                </c:pt>
                <c:pt idx="219">
                  <c:v>19395604</c:v>
                </c:pt>
                <c:pt idx="220">
                  <c:v>17239484</c:v>
                </c:pt>
                <c:pt idx="221">
                  <c:v>22209720</c:v>
                </c:pt>
                <c:pt idx="222">
                  <c:v>16581585</c:v>
                </c:pt>
                <c:pt idx="223">
                  <c:v>8153106</c:v>
                </c:pt>
                <c:pt idx="224">
                  <c:v>11568803</c:v>
                </c:pt>
                <c:pt idx="225">
                  <c:v>11480954</c:v>
                </c:pt>
                <c:pt idx="226">
                  <c:v>9741198</c:v>
                </c:pt>
                <c:pt idx="227">
                  <c:v>7583815</c:v>
                </c:pt>
                <c:pt idx="228">
                  <c:v>7765495</c:v>
                </c:pt>
                <c:pt idx="229">
                  <c:v>9050253</c:v>
                </c:pt>
                <c:pt idx="230">
                  <c:v>11230588</c:v>
                </c:pt>
                <c:pt idx="231">
                  <c:v>8950589</c:v>
                </c:pt>
                <c:pt idx="232">
                  <c:v>8855041</c:v>
                </c:pt>
                <c:pt idx="233">
                  <c:v>15841299</c:v>
                </c:pt>
                <c:pt idx="234">
                  <c:v>8020695</c:v>
                </c:pt>
                <c:pt idx="235">
                  <c:v>13158894</c:v>
                </c:pt>
                <c:pt idx="236">
                  <c:v>11501088</c:v>
                </c:pt>
                <c:pt idx="237">
                  <c:v>10569725</c:v>
                </c:pt>
                <c:pt idx="238">
                  <c:v>12318313</c:v>
                </c:pt>
                <c:pt idx="239">
                  <c:v>14394097</c:v>
                </c:pt>
                <c:pt idx="240">
                  <c:v>11473796</c:v>
                </c:pt>
                <c:pt idx="241">
                  <c:v>17329896</c:v>
                </c:pt>
                <c:pt idx="242">
                  <c:v>16586264</c:v>
                </c:pt>
                <c:pt idx="243">
                  <c:v>17354942</c:v>
                </c:pt>
                <c:pt idx="244">
                  <c:v>18322935</c:v>
                </c:pt>
                <c:pt idx="245">
                  <c:v>23149684</c:v>
                </c:pt>
                <c:pt idx="246">
                  <c:v>15276991</c:v>
                </c:pt>
                <c:pt idx="247">
                  <c:v>15039006</c:v>
                </c:pt>
                <c:pt idx="248">
                  <c:v>43207074</c:v>
                </c:pt>
                <c:pt idx="249">
                  <c:v>41130638</c:v>
                </c:pt>
                <c:pt idx="250">
                  <c:v>27845963</c:v>
                </c:pt>
                <c:pt idx="251">
                  <c:v>56705951</c:v>
                </c:pt>
                <c:pt idx="252">
                  <c:v>24171083</c:v>
                </c:pt>
                <c:pt idx="253">
                  <c:v>16201280</c:v>
                </c:pt>
                <c:pt idx="254">
                  <c:v>11893807</c:v>
                </c:pt>
                <c:pt idx="255">
                  <c:v>19563580</c:v>
                </c:pt>
                <c:pt idx="256">
                  <c:v>18096561</c:v>
                </c:pt>
                <c:pt idx="257">
                  <c:v>22745228</c:v>
                </c:pt>
                <c:pt idx="258">
                  <c:v>12875311</c:v>
                </c:pt>
                <c:pt idx="259">
                  <c:v>11231596</c:v>
                </c:pt>
                <c:pt idx="260">
                  <c:v>14024149</c:v>
                </c:pt>
                <c:pt idx="261">
                  <c:v>8670947</c:v>
                </c:pt>
                <c:pt idx="262">
                  <c:v>16129017</c:v>
                </c:pt>
                <c:pt idx="263">
                  <c:v>25749340</c:v>
                </c:pt>
                <c:pt idx="264">
                  <c:v>11014283</c:v>
                </c:pt>
                <c:pt idx="265">
                  <c:v>41341523</c:v>
                </c:pt>
                <c:pt idx="266">
                  <c:v>23633656</c:v>
                </c:pt>
                <c:pt idx="267">
                  <c:v>20034633</c:v>
                </c:pt>
                <c:pt idx="268">
                  <c:v>19295994</c:v>
                </c:pt>
                <c:pt idx="269">
                  <c:v>28532668</c:v>
                </c:pt>
                <c:pt idx="270">
                  <c:v>66835736</c:v>
                </c:pt>
                <c:pt idx="271">
                  <c:v>45258669</c:v>
                </c:pt>
                <c:pt idx="272">
                  <c:v>36036336</c:v>
                </c:pt>
                <c:pt idx="273">
                  <c:v>42294906</c:v>
                </c:pt>
                <c:pt idx="274">
                  <c:v>36132245</c:v>
                </c:pt>
                <c:pt idx="275">
                  <c:v>41699184</c:v>
                </c:pt>
                <c:pt idx="276">
                  <c:v>35113638</c:v>
                </c:pt>
                <c:pt idx="277">
                  <c:v>32998305</c:v>
                </c:pt>
                <c:pt idx="278">
                  <c:v>21629521</c:v>
                </c:pt>
                <c:pt idx="279">
                  <c:v>34223740</c:v>
                </c:pt>
                <c:pt idx="280">
                  <c:v>27975134</c:v>
                </c:pt>
                <c:pt idx="281">
                  <c:v>36945426</c:v>
                </c:pt>
                <c:pt idx="282">
                  <c:v>40491633</c:v>
                </c:pt>
                <c:pt idx="283">
                  <c:v>38239419</c:v>
                </c:pt>
                <c:pt idx="284">
                  <c:v>29284643</c:v>
                </c:pt>
                <c:pt idx="285">
                  <c:v>24916402</c:v>
                </c:pt>
                <c:pt idx="286">
                  <c:v>18122714</c:v>
                </c:pt>
                <c:pt idx="287">
                  <c:v>17603827</c:v>
                </c:pt>
                <c:pt idx="288">
                  <c:v>25656796</c:v>
                </c:pt>
                <c:pt idx="289">
                  <c:v>14305709</c:v>
                </c:pt>
                <c:pt idx="290">
                  <c:v>15907398</c:v>
                </c:pt>
                <c:pt idx="291">
                  <c:v>27183142</c:v>
                </c:pt>
                <c:pt idx="292">
                  <c:v>19597941</c:v>
                </c:pt>
                <c:pt idx="293">
                  <c:v>16061089</c:v>
                </c:pt>
                <c:pt idx="294">
                  <c:v>37826800</c:v>
                </c:pt>
                <c:pt idx="295">
                  <c:v>46147653</c:v>
                </c:pt>
                <c:pt idx="296">
                  <c:v>23553762</c:v>
                </c:pt>
                <c:pt idx="297">
                  <c:v>21414383</c:v>
                </c:pt>
                <c:pt idx="298">
                  <c:v>24399444</c:v>
                </c:pt>
                <c:pt idx="299">
                  <c:v>23380138</c:v>
                </c:pt>
                <c:pt idx="300">
                  <c:v>24510612</c:v>
                </c:pt>
                <c:pt idx="301">
                  <c:v>23412279</c:v>
                </c:pt>
                <c:pt idx="302">
                  <c:v>15671273</c:v>
                </c:pt>
                <c:pt idx="303">
                  <c:v>24208645</c:v>
                </c:pt>
                <c:pt idx="304">
                  <c:v>20536714</c:v>
                </c:pt>
                <c:pt idx="305">
                  <c:v>16580824</c:v>
                </c:pt>
                <c:pt idx="306">
                  <c:v>27924384</c:v>
                </c:pt>
                <c:pt idx="307">
                  <c:v>20419904</c:v>
                </c:pt>
                <c:pt idx="308">
                  <c:v>18965820</c:v>
                </c:pt>
                <c:pt idx="309">
                  <c:v>25951999</c:v>
                </c:pt>
                <c:pt idx="310">
                  <c:v>17932895</c:v>
                </c:pt>
                <c:pt idx="311">
                  <c:v>34490123</c:v>
                </c:pt>
                <c:pt idx="312">
                  <c:v>21403710</c:v>
                </c:pt>
                <c:pt idx="313">
                  <c:v>18033260</c:v>
                </c:pt>
                <c:pt idx="314">
                  <c:v>17344099</c:v>
                </c:pt>
                <c:pt idx="315">
                  <c:v>20044726</c:v>
                </c:pt>
                <c:pt idx="316">
                  <c:v>11921627</c:v>
                </c:pt>
                <c:pt idx="317">
                  <c:v>8186859</c:v>
                </c:pt>
                <c:pt idx="318">
                  <c:v>17797974</c:v>
                </c:pt>
                <c:pt idx="319">
                  <c:v>20200332</c:v>
                </c:pt>
                <c:pt idx="320">
                  <c:v>78287713</c:v>
                </c:pt>
                <c:pt idx="321">
                  <c:v>32370771</c:v>
                </c:pt>
                <c:pt idx="322">
                  <c:v>21700165</c:v>
                </c:pt>
                <c:pt idx="323">
                  <c:v>15547968</c:v>
                </c:pt>
                <c:pt idx="324">
                  <c:v>15288648</c:v>
                </c:pt>
                <c:pt idx="325">
                  <c:v>18420159</c:v>
                </c:pt>
                <c:pt idx="326">
                  <c:v>13468067</c:v>
                </c:pt>
                <c:pt idx="327">
                  <c:v>11819102</c:v>
                </c:pt>
                <c:pt idx="328">
                  <c:v>23208345</c:v>
                </c:pt>
                <c:pt idx="329">
                  <c:v>14699792</c:v>
                </c:pt>
                <c:pt idx="330">
                  <c:v>14240994</c:v>
                </c:pt>
                <c:pt idx="331">
                  <c:v>12487862</c:v>
                </c:pt>
                <c:pt idx="332">
                  <c:v>10925182</c:v>
                </c:pt>
                <c:pt idx="333">
                  <c:v>10828539</c:v>
                </c:pt>
                <c:pt idx="334">
                  <c:v>14361969</c:v>
                </c:pt>
                <c:pt idx="335">
                  <c:v>9860194</c:v>
                </c:pt>
                <c:pt idx="336">
                  <c:v>8371061</c:v>
                </c:pt>
                <c:pt idx="337">
                  <c:v>11092690</c:v>
                </c:pt>
                <c:pt idx="338">
                  <c:v>7422193</c:v>
                </c:pt>
                <c:pt idx="339">
                  <c:v>5059474</c:v>
                </c:pt>
                <c:pt idx="340">
                  <c:v>14293357</c:v>
                </c:pt>
                <c:pt idx="341">
                  <c:v>16654660</c:v>
                </c:pt>
                <c:pt idx="342">
                  <c:v>17081136</c:v>
                </c:pt>
                <c:pt idx="343">
                  <c:v>13883034</c:v>
                </c:pt>
                <c:pt idx="344">
                  <c:v>11320918</c:v>
                </c:pt>
                <c:pt idx="345">
                  <c:v>9067252</c:v>
                </c:pt>
                <c:pt idx="346">
                  <c:v>7013132</c:v>
                </c:pt>
                <c:pt idx="347">
                  <c:v>8172964</c:v>
                </c:pt>
                <c:pt idx="348">
                  <c:v>11240154</c:v>
                </c:pt>
                <c:pt idx="349">
                  <c:v>16018449</c:v>
                </c:pt>
                <c:pt idx="350">
                  <c:v>19262054</c:v>
                </c:pt>
                <c:pt idx="351">
                  <c:v>35165665</c:v>
                </c:pt>
                <c:pt idx="352">
                  <c:v>39881736</c:v>
                </c:pt>
                <c:pt idx="353">
                  <c:v>18568655</c:v>
                </c:pt>
                <c:pt idx="354">
                  <c:v>18292925</c:v>
                </c:pt>
                <c:pt idx="355">
                  <c:v>13794991</c:v>
                </c:pt>
                <c:pt idx="356">
                  <c:v>11110418</c:v>
                </c:pt>
                <c:pt idx="357">
                  <c:v>12352667</c:v>
                </c:pt>
                <c:pt idx="358">
                  <c:v>14074628</c:v>
                </c:pt>
                <c:pt idx="359">
                  <c:v>9277570</c:v>
                </c:pt>
                <c:pt idx="360">
                  <c:v>13414357</c:v>
                </c:pt>
                <c:pt idx="361">
                  <c:v>11025420</c:v>
                </c:pt>
                <c:pt idx="362">
                  <c:v>11315876</c:v>
                </c:pt>
                <c:pt idx="363">
                  <c:v>9188419</c:v>
                </c:pt>
                <c:pt idx="364">
                  <c:v>15789281</c:v>
                </c:pt>
                <c:pt idx="365">
                  <c:v>16042840</c:v>
                </c:pt>
                <c:pt idx="366">
                  <c:v>9967545</c:v>
                </c:pt>
                <c:pt idx="367">
                  <c:v>10640727</c:v>
                </c:pt>
                <c:pt idx="368">
                  <c:v>9739177</c:v>
                </c:pt>
                <c:pt idx="369">
                  <c:v>9346146</c:v>
                </c:pt>
                <c:pt idx="370">
                  <c:v>10839070</c:v>
                </c:pt>
                <c:pt idx="371">
                  <c:v>16932743</c:v>
                </c:pt>
                <c:pt idx="372">
                  <c:v>15889556</c:v>
                </c:pt>
                <c:pt idx="373">
                  <c:v>38982557</c:v>
                </c:pt>
                <c:pt idx="374">
                  <c:v>17695228</c:v>
                </c:pt>
                <c:pt idx="375">
                  <c:v>15901918</c:v>
                </c:pt>
                <c:pt idx="376">
                  <c:v>10088723</c:v>
                </c:pt>
                <c:pt idx="377">
                  <c:v>8307140</c:v>
                </c:pt>
                <c:pt idx="378">
                  <c:v>8923568</c:v>
                </c:pt>
                <c:pt idx="379">
                  <c:v>10885990</c:v>
                </c:pt>
                <c:pt idx="380">
                  <c:v>6422504</c:v>
                </c:pt>
                <c:pt idx="381">
                  <c:v>8609864</c:v>
                </c:pt>
                <c:pt idx="382">
                  <c:v>7975854</c:v>
                </c:pt>
                <c:pt idx="383">
                  <c:v>9883851</c:v>
                </c:pt>
                <c:pt idx="384">
                  <c:v>10422413</c:v>
                </c:pt>
                <c:pt idx="385">
                  <c:v>11355837</c:v>
                </c:pt>
                <c:pt idx="386">
                  <c:v>9338887</c:v>
                </c:pt>
                <c:pt idx="387">
                  <c:v>11346892</c:v>
                </c:pt>
                <c:pt idx="388">
                  <c:v>7759104</c:v>
                </c:pt>
                <c:pt idx="389">
                  <c:v>6956588</c:v>
                </c:pt>
                <c:pt idx="390">
                  <c:v>11361400</c:v>
                </c:pt>
                <c:pt idx="391">
                  <c:v>17829428</c:v>
                </c:pt>
                <c:pt idx="392">
                  <c:v>13254985</c:v>
                </c:pt>
                <c:pt idx="393">
                  <c:v>25758860</c:v>
                </c:pt>
                <c:pt idx="394">
                  <c:v>17471906</c:v>
                </c:pt>
                <c:pt idx="395">
                  <c:v>11970750</c:v>
                </c:pt>
                <c:pt idx="396">
                  <c:v>8085824</c:v>
                </c:pt>
                <c:pt idx="397">
                  <c:v>10911130</c:v>
                </c:pt>
                <c:pt idx="398">
                  <c:v>9408098</c:v>
                </c:pt>
                <c:pt idx="399">
                  <c:v>8712689</c:v>
                </c:pt>
                <c:pt idx="400">
                  <c:v>10520207</c:v>
                </c:pt>
                <c:pt idx="401">
                  <c:v>12267025</c:v>
                </c:pt>
                <c:pt idx="402">
                  <c:v>8418672</c:v>
                </c:pt>
                <c:pt idx="403">
                  <c:v>12492851</c:v>
                </c:pt>
                <c:pt idx="404">
                  <c:v>14365461</c:v>
                </c:pt>
                <c:pt idx="405">
                  <c:v>9526068</c:v>
                </c:pt>
                <c:pt idx="406">
                  <c:v>20992080</c:v>
                </c:pt>
                <c:pt idx="407">
                  <c:v>24179987</c:v>
                </c:pt>
                <c:pt idx="408">
                  <c:v>22838807</c:v>
                </c:pt>
                <c:pt idx="409">
                  <c:v>16205789</c:v>
                </c:pt>
                <c:pt idx="410">
                  <c:v>9991052</c:v>
                </c:pt>
                <c:pt idx="411">
                  <c:v>15552911</c:v>
                </c:pt>
                <c:pt idx="412">
                  <c:v>18281337</c:v>
                </c:pt>
                <c:pt idx="413">
                  <c:v>12427919</c:v>
                </c:pt>
                <c:pt idx="414">
                  <c:v>9111289</c:v>
                </c:pt>
                <c:pt idx="415">
                  <c:v>8803255</c:v>
                </c:pt>
                <c:pt idx="416">
                  <c:v>22235092</c:v>
                </c:pt>
                <c:pt idx="417">
                  <c:v>10506078</c:v>
                </c:pt>
                <c:pt idx="418">
                  <c:v>9388996</c:v>
                </c:pt>
                <c:pt idx="419">
                  <c:v>10609956</c:v>
                </c:pt>
                <c:pt idx="420">
                  <c:v>10337544</c:v>
                </c:pt>
                <c:pt idx="421">
                  <c:v>7266724</c:v>
                </c:pt>
                <c:pt idx="422">
                  <c:v>6424915</c:v>
                </c:pt>
                <c:pt idx="423">
                  <c:v>6929063</c:v>
                </c:pt>
                <c:pt idx="424">
                  <c:v>20887417</c:v>
                </c:pt>
                <c:pt idx="425">
                  <c:v>16296080</c:v>
                </c:pt>
                <c:pt idx="426">
                  <c:v>18474706</c:v>
                </c:pt>
                <c:pt idx="427">
                  <c:v>27372160</c:v>
                </c:pt>
                <c:pt idx="428">
                  <c:v>17242211</c:v>
                </c:pt>
                <c:pt idx="429">
                  <c:v>18558597</c:v>
                </c:pt>
                <c:pt idx="430">
                  <c:v>13069167</c:v>
                </c:pt>
                <c:pt idx="431">
                  <c:v>13825970</c:v>
                </c:pt>
                <c:pt idx="432">
                  <c:v>19665200</c:v>
                </c:pt>
                <c:pt idx="433">
                  <c:v>16781507</c:v>
                </c:pt>
                <c:pt idx="434">
                  <c:v>10736155</c:v>
                </c:pt>
                <c:pt idx="435">
                  <c:v>8386849</c:v>
                </c:pt>
                <c:pt idx="436">
                  <c:v>10050303</c:v>
                </c:pt>
                <c:pt idx="437">
                  <c:v>20611075</c:v>
                </c:pt>
                <c:pt idx="438">
                  <c:v>19327625</c:v>
                </c:pt>
                <c:pt idx="439">
                  <c:v>10950902</c:v>
                </c:pt>
                <c:pt idx="440">
                  <c:v>17639889</c:v>
                </c:pt>
                <c:pt idx="441">
                  <c:v>15451411</c:v>
                </c:pt>
                <c:pt idx="442">
                  <c:v>7604924</c:v>
                </c:pt>
                <c:pt idx="443">
                  <c:v>9994270</c:v>
                </c:pt>
                <c:pt idx="444">
                  <c:v>7838297</c:v>
                </c:pt>
                <c:pt idx="445">
                  <c:v>9198816</c:v>
                </c:pt>
                <c:pt idx="446">
                  <c:v>6495845</c:v>
                </c:pt>
                <c:pt idx="447">
                  <c:v>7768291</c:v>
                </c:pt>
                <c:pt idx="448">
                  <c:v>8140857</c:v>
                </c:pt>
                <c:pt idx="449">
                  <c:v>6933254</c:v>
                </c:pt>
                <c:pt idx="450">
                  <c:v>9902739</c:v>
                </c:pt>
                <c:pt idx="451">
                  <c:v>10189855</c:v>
                </c:pt>
                <c:pt idx="452">
                  <c:v>22556502</c:v>
                </c:pt>
                <c:pt idx="453">
                  <c:v>16630417</c:v>
                </c:pt>
                <c:pt idx="454">
                  <c:v>8388835</c:v>
                </c:pt>
                <c:pt idx="455">
                  <c:v>9716390</c:v>
                </c:pt>
                <c:pt idx="456">
                  <c:v>6327430</c:v>
                </c:pt>
                <c:pt idx="457">
                  <c:v>9813208</c:v>
                </c:pt>
                <c:pt idx="458">
                  <c:v>6200447</c:v>
                </c:pt>
                <c:pt idx="459">
                  <c:v>8132228</c:v>
                </c:pt>
                <c:pt idx="460">
                  <c:v>11214662</c:v>
                </c:pt>
                <c:pt idx="461">
                  <c:v>10693426</c:v>
                </c:pt>
                <c:pt idx="462">
                  <c:v>7379878</c:v>
                </c:pt>
                <c:pt idx="463">
                  <c:v>8154931</c:v>
                </c:pt>
                <c:pt idx="464">
                  <c:v>12429280</c:v>
                </c:pt>
                <c:pt idx="465">
                  <c:v>7812801</c:v>
                </c:pt>
                <c:pt idx="466">
                  <c:v>5482218</c:v>
                </c:pt>
                <c:pt idx="467">
                  <c:v>7045201</c:v>
                </c:pt>
                <c:pt idx="468">
                  <c:v>6584445</c:v>
                </c:pt>
                <c:pt idx="469">
                  <c:v>10073884</c:v>
                </c:pt>
                <c:pt idx="470">
                  <c:v>9566210</c:v>
                </c:pt>
                <c:pt idx="471">
                  <c:v>6727343</c:v>
                </c:pt>
                <c:pt idx="472">
                  <c:v>7737562</c:v>
                </c:pt>
                <c:pt idx="473">
                  <c:v>8105359</c:v>
                </c:pt>
                <c:pt idx="474">
                  <c:v>6960264</c:v>
                </c:pt>
                <c:pt idx="475">
                  <c:v>5951893</c:v>
                </c:pt>
                <c:pt idx="476">
                  <c:v>5997051</c:v>
                </c:pt>
                <c:pt idx="477">
                  <c:v>6689769</c:v>
                </c:pt>
                <c:pt idx="478">
                  <c:v>8171437</c:v>
                </c:pt>
                <c:pt idx="479">
                  <c:v>8284135</c:v>
                </c:pt>
                <c:pt idx="480">
                  <c:v>10618786</c:v>
                </c:pt>
                <c:pt idx="481">
                  <c:v>6949605</c:v>
                </c:pt>
                <c:pt idx="482">
                  <c:v>4584293</c:v>
                </c:pt>
                <c:pt idx="483">
                  <c:v>6638422</c:v>
                </c:pt>
                <c:pt idx="484">
                  <c:v>14412671</c:v>
                </c:pt>
                <c:pt idx="485">
                  <c:v>8253942</c:v>
                </c:pt>
                <c:pt idx="486">
                  <c:v>13712537</c:v>
                </c:pt>
                <c:pt idx="487">
                  <c:v>12555527</c:v>
                </c:pt>
                <c:pt idx="488">
                  <c:v>8346130</c:v>
                </c:pt>
                <c:pt idx="489">
                  <c:v>13103664</c:v>
                </c:pt>
                <c:pt idx="490">
                  <c:v>7124807</c:v>
                </c:pt>
                <c:pt idx="491">
                  <c:v>12302874</c:v>
                </c:pt>
                <c:pt idx="492">
                  <c:v>12497542</c:v>
                </c:pt>
                <c:pt idx="493">
                  <c:v>21040139</c:v>
                </c:pt>
                <c:pt idx="494">
                  <c:v>14091519</c:v>
                </c:pt>
                <c:pt idx="495">
                  <c:v>17134291</c:v>
                </c:pt>
                <c:pt idx="496">
                  <c:v>64518967</c:v>
                </c:pt>
                <c:pt idx="497">
                  <c:v>55745171</c:v>
                </c:pt>
                <c:pt idx="498">
                  <c:v>22295321</c:v>
                </c:pt>
                <c:pt idx="499">
                  <c:v>25790153</c:v>
                </c:pt>
                <c:pt idx="500">
                  <c:v>20643707</c:v>
                </c:pt>
                <c:pt idx="501">
                  <c:v>10420462</c:v>
                </c:pt>
                <c:pt idx="502">
                  <c:v>11861196</c:v>
                </c:pt>
                <c:pt idx="503">
                  <c:v>10278597</c:v>
                </c:pt>
                <c:pt idx="504">
                  <c:v>9901148</c:v>
                </c:pt>
                <c:pt idx="505">
                  <c:v>29125052</c:v>
                </c:pt>
                <c:pt idx="506">
                  <c:v>12209350</c:v>
                </c:pt>
                <c:pt idx="507">
                  <c:v>9775280</c:v>
                </c:pt>
                <c:pt idx="508">
                  <c:v>7672135</c:v>
                </c:pt>
                <c:pt idx="509">
                  <c:v>7804976</c:v>
                </c:pt>
                <c:pt idx="510">
                  <c:v>8259574</c:v>
                </c:pt>
                <c:pt idx="511">
                  <c:v>8961077</c:v>
                </c:pt>
                <c:pt idx="512">
                  <c:v>18830592</c:v>
                </c:pt>
                <c:pt idx="513">
                  <c:v>12910220</c:v>
                </c:pt>
                <c:pt idx="514">
                  <c:v>8142319</c:v>
                </c:pt>
                <c:pt idx="515">
                  <c:v>16367477</c:v>
                </c:pt>
                <c:pt idx="516">
                  <c:v>7766667</c:v>
                </c:pt>
                <c:pt idx="517">
                  <c:v>5019603</c:v>
                </c:pt>
                <c:pt idx="518">
                  <c:v>8180709</c:v>
                </c:pt>
                <c:pt idx="519">
                  <c:v>10714339</c:v>
                </c:pt>
                <c:pt idx="520">
                  <c:v>8917699</c:v>
                </c:pt>
                <c:pt idx="521">
                  <c:v>9634283</c:v>
                </c:pt>
                <c:pt idx="522">
                  <c:v>8362265</c:v>
                </c:pt>
                <c:pt idx="523">
                  <c:v>8791872</c:v>
                </c:pt>
                <c:pt idx="524">
                  <c:v>10229766</c:v>
                </c:pt>
                <c:pt idx="525">
                  <c:v>8423692</c:v>
                </c:pt>
                <c:pt idx="526">
                  <c:v>15710094</c:v>
                </c:pt>
                <c:pt idx="527">
                  <c:v>48904254</c:v>
                </c:pt>
                <c:pt idx="528">
                  <c:v>10122167</c:v>
                </c:pt>
                <c:pt idx="529">
                  <c:v>11610832</c:v>
                </c:pt>
                <c:pt idx="530">
                  <c:v>4774867</c:v>
                </c:pt>
                <c:pt idx="531">
                  <c:v>9752326</c:v>
                </c:pt>
                <c:pt idx="532">
                  <c:v>9934501</c:v>
                </c:pt>
                <c:pt idx="533">
                  <c:v>10816352</c:v>
                </c:pt>
                <c:pt idx="534">
                  <c:v>9170535</c:v>
                </c:pt>
                <c:pt idx="535">
                  <c:v>10160322</c:v>
                </c:pt>
                <c:pt idx="536">
                  <c:v>9511189</c:v>
                </c:pt>
                <c:pt idx="537">
                  <c:v>7059200</c:v>
                </c:pt>
                <c:pt idx="538">
                  <c:v>11608424</c:v>
                </c:pt>
                <c:pt idx="539">
                  <c:v>12897667</c:v>
                </c:pt>
                <c:pt idx="540">
                  <c:v>6783022</c:v>
                </c:pt>
                <c:pt idx="541">
                  <c:v>18237451</c:v>
                </c:pt>
                <c:pt idx="542">
                  <c:v>9747526</c:v>
                </c:pt>
                <c:pt idx="543">
                  <c:v>6059044</c:v>
                </c:pt>
                <c:pt idx="544">
                  <c:v>11041243</c:v>
                </c:pt>
                <c:pt idx="545">
                  <c:v>9494641</c:v>
                </c:pt>
                <c:pt idx="546">
                  <c:v>9744202</c:v>
                </c:pt>
                <c:pt idx="547">
                  <c:v>6667781</c:v>
                </c:pt>
                <c:pt idx="548">
                  <c:v>14252204</c:v>
                </c:pt>
                <c:pt idx="549">
                  <c:v>5981760</c:v>
                </c:pt>
                <c:pt idx="550">
                  <c:v>8840188</c:v>
                </c:pt>
                <c:pt idx="551">
                  <c:v>7620723</c:v>
                </c:pt>
                <c:pt idx="552">
                  <c:v>12614263</c:v>
                </c:pt>
                <c:pt idx="553">
                  <c:v>12718721</c:v>
                </c:pt>
                <c:pt idx="554">
                  <c:v>10253527</c:v>
                </c:pt>
                <c:pt idx="555">
                  <c:v>7325483</c:v>
                </c:pt>
                <c:pt idx="556">
                  <c:v>7984933</c:v>
                </c:pt>
                <c:pt idx="557">
                  <c:v>12412416</c:v>
                </c:pt>
                <c:pt idx="558">
                  <c:v>7243636</c:v>
                </c:pt>
                <c:pt idx="559">
                  <c:v>9992962</c:v>
                </c:pt>
                <c:pt idx="560">
                  <c:v>9754485</c:v>
                </c:pt>
                <c:pt idx="561">
                  <c:v>15982423</c:v>
                </c:pt>
                <c:pt idx="562">
                  <c:v>11135894</c:v>
                </c:pt>
                <c:pt idx="563">
                  <c:v>9151102</c:v>
                </c:pt>
                <c:pt idx="564">
                  <c:v>7994197</c:v>
                </c:pt>
                <c:pt idx="565">
                  <c:v>9479691</c:v>
                </c:pt>
                <c:pt idx="566">
                  <c:v>23995166</c:v>
                </c:pt>
                <c:pt idx="567">
                  <c:v>25767521</c:v>
                </c:pt>
                <c:pt idx="568">
                  <c:v>15421680</c:v>
                </c:pt>
                <c:pt idx="569">
                  <c:v>8732608</c:v>
                </c:pt>
                <c:pt idx="570">
                  <c:v>11479706</c:v>
                </c:pt>
                <c:pt idx="571">
                  <c:v>18204464</c:v>
                </c:pt>
                <c:pt idx="572">
                  <c:v>12995706</c:v>
                </c:pt>
                <c:pt idx="573">
                  <c:v>19826254</c:v>
                </c:pt>
                <c:pt idx="574">
                  <c:v>18900002</c:v>
                </c:pt>
                <c:pt idx="575">
                  <c:v>14272292</c:v>
                </c:pt>
                <c:pt idx="576">
                  <c:v>8803137</c:v>
                </c:pt>
                <c:pt idx="577">
                  <c:v>9203842</c:v>
                </c:pt>
                <c:pt idx="578">
                  <c:v>7152179</c:v>
                </c:pt>
                <c:pt idx="579">
                  <c:v>6454486</c:v>
                </c:pt>
                <c:pt idx="580">
                  <c:v>7543432</c:v>
                </c:pt>
                <c:pt idx="581">
                  <c:v>7024424</c:v>
                </c:pt>
                <c:pt idx="582">
                  <c:v>7057843</c:v>
                </c:pt>
                <c:pt idx="583">
                  <c:v>8719176</c:v>
                </c:pt>
                <c:pt idx="584">
                  <c:v>16111860</c:v>
                </c:pt>
                <c:pt idx="585">
                  <c:v>8704178</c:v>
                </c:pt>
                <c:pt idx="586">
                  <c:v>7498727</c:v>
                </c:pt>
                <c:pt idx="587">
                  <c:v>11729681</c:v>
                </c:pt>
                <c:pt idx="588">
                  <c:v>4189180</c:v>
                </c:pt>
                <c:pt idx="589">
                  <c:v>4472119</c:v>
                </c:pt>
                <c:pt idx="590">
                  <c:v>6059504</c:v>
                </c:pt>
                <c:pt idx="591">
                  <c:v>6637099</c:v>
                </c:pt>
                <c:pt idx="592">
                  <c:v>6090901</c:v>
                </c:pt>
                <c:pt idx="593">
                  <c:v>5477339</c:v>
                </c:pt>
                <c:pt idx="594">
                  <c:v>4865596</c:v>
                </c:pt>
                <c:pt idx="595">
                  <c:v>12082753</c:v>
                </c:pt>
                <c:pt idx="596">
                  <c:v>9106074</c:v>
                </c:pt>
                <c:pt idx="597">
                  <c:v>10699143</c:v>
                </c:pt>
                <c:pt idx="598">
                  <c:v>7725081</c:v>
                </c:pt>
                <c:pt idx="599">
                  <c:v>16252992</c:v>
                </c:pt>
                <c:pt idx="600">
                  <c:v>9471054</c:v>
                </c:pt>
                <c:pt idx="601">
                  <c:v>7323451</c:v>
                </c:pt>
                <c:pt idx="602">
                  <c:v>6521300</c:v>
                </c:pt>
                <c:pt idx="603">
                  <c:v>8457557</c:v>
                </c:pt>
                <c:pt idx="604">
                  <c:v>12340934</c:v>
                </c:pt>
                <c:pt idx="605">
                  <c:v>7909757</c:v>
                </c:pt>
                <c:pt idx="606">
                  <c:v>5081391</c:v>
                </c:pt>
                <c:pt idx="607">
                  <c:v>6090738</c:v>
                </c:pt>
                <c:pt idx="608">
                  <c:v>5352283</c:v>
                </c:pt>
                <c:pt idx="609">
                  <c:v>13867323</c:v>
                </c:pt>
                <c:pt idx="610">
                  <c:v>20250206</c:v>
                </c:pt>
                <c:pt idx="611">
                  <c:v>13971982</c:v>
                </c:pt>
                <c:pt idx="612">
                  <c:v>38976815</c:v>
                </c:pt>
                <c:pt idx="613">
                  <c:v>43534718</c:v>
                </c:pt>
                <c:pt idx="614">
                  <c:v>18143422</c:v>
                </c:pt>
                <c:pt idx="615">
                  <c:v>13989457</c:v>
                </c:pt>
                <c:pt idx="616">
                  <c:v>9978231</c:v>
                </c:pt>
                <c:pt idx="617">
                  <c:v>8194797</c:v>
                </c:pt>
                <c:pt idx="618">
                  <c:v>6438221</c:v>
                </c:pt>
                <c:pt idx="619">
                  <c:v>10318220</c:v>
                </c:pt>
                <c:pt idx="620">
                  <c:v>10617897</c:v>
                </c:pt>
                <c:pt idx="621">
                  <c:v>6834401</c:v>
                </c:pt>
                <c:pt idx="622">
                  <c:v>9161131</c:v>
                </c:pt>
                <c:pt idx="623">
                  <c:v>6392488</c:v>
                </c:pt>
                <c:pt idx="624">
                  <c:v>9758343</c:v>
                </c:pt>
                <c:pt idx="625">
                  <c:v>13194170</c:v>
                </c:pt>
                <c:pt idx="626">
                  <c:v>11582326</c:v>
                </c:pt>
                <c:pt idx="627">
                  <c:v>7562808</c:v>
                </c:pt>
                <c:pt idx="628">
                  <c:v>14920272</c:v>
                </c:pt>
                <c:pt idx="629">
                  <c:v>16269569</c:v>
                </c:pt>
                <c:pt idx="630">
                  <c:v>19324262</c:v>
                </c:pt>
                <c:pt idx="631">
                  <c:v>9572041</c:v>
                </c:pt>
                <c:pt idx="632">
                  <c:v>9854945</c:v>
                </c:pt>
                <c:pt idx="633">
                  <c:v>8445029</c:v>
                </c:pt>
                <c:pt idx="634">
                  <c:v>6088274</c:v>
                </c:pt>
                <c:pt idx="635">
                  <c:v>9270988</c:v>
                </c:pt>
                <c:pt idx="636">
                  <c:v>6910750</c:v>
                </c:pt>
                <c:pt idx="637">
                  <c:v>9480003</c:v>
                </c:pt>
                <c:pt idx="638">
                  <c:v>7364924</c:v>
                </c:pt>
                <c:pt idx="639">
                  <c:v>19900312</c:v>
                </c:pt>
                <c:pt idx="640">
                  <c:v>11438624</c:v>
                </c:pt>
                <c:pt idx="641">
                  <c:v>13604608</c:v>
                </c:pt>
                <c:pt idx="642">
                  <c:v>8378915</c:v>
                </c:pt>
                <c:pt idx="643">
                  <c:v>12863039</c:v>
                </c:pt>
                <c:pt idx="644">
                  <c:v>8090369</c:v>
                </c:pt>
                <c:pt idx="645">
                  <c:v>9939517</c:v>
                </c:pt>
                <c:pt idx="646">
                  <c:v>9320577</c:v>
                </c:pt>
                <c:pt idx="647">
                  <c:v>14406441</c:v>
                </c:pt>
                <c:pt idx="648">
                  <c:v>11813170</c:v>
                </c:pt>
                <c:pt idx="649">
                  <c:v>14430930</c:v>
                </c:pt>
                <c:pt idx="650">
                  <c:v>15077136</c:v>
                </c:pt>
                <c:pt idx="651">
                  <c:v>8197425</c:v>
                </c:pt>
                <c:pt idx="652">
                  <c:v>9959649</c:v>
                </c:pt>
                <c:pt idx="653">
                  <c:v>10719470</c:v>
                </c:pt>
                <c:pt idx="654">
                  <c:v>7506309</c:v>
                </c:pt>
                <c:pt idx="655">
                  <c:v>5782955</c:v>
                </c:pt>
                <c:pt idx="656">
                  <c:v>5327833</c:v>
                </c:pt>
                <c:pt idx="657">
                  <c:v>10490786</c:v>
                </c:pt>
                <c:pt idx="658">
                  <c:v>10216736</c:v>
                </c:pt>
                <c:pt idx="659">
                  <c:v>8160058</c:v>
                </c:pt>
                <c:pt idx="660">
                  <c:v>7481883</c:v>
                </c:pt>
                <c:pt idx="661">
                  <c:v>13396709</c:v>
                </c:pt>
                <c:pt idx="662">
                  <c:v>10030257</c:v>
                </c:pt>
                <c:pt idx="663">
                  <c:v>8418580</c:v>
                </c:pt>
                <c:pt idx="664">
                  <c:v>5611154</c:v>
                </c:pt>
                <c:pt idx="665">
                  <c:v>5014758</c:v>
                </c:pt>
                <c:pt idx="666">
                  <c:v>7651513</c:v>
                </c:pt>
                <c:pt idx="667">
                  <c:v>11774487</c:v>
                </c:pt>
                <c:pt idx="668">
                  <c:v>7632483</c:v>
                </c:pt>
                <c:pt idx="669">
                  <c:v>4214958</c:v>
                </c:pt>
                <c:pt idx="670">
                  <c:v>6936218</c:v>
                </c:pt>
                <c:pt idx="671">
                  <c:v>6894947</c:v>
                </c:pt>
                <c:pt idx="672">
                  <c:v>9465463</c:v>
                </c:pt>
                <c:pt idx="673">
                  <c:v>13020371</c:v>
                </c:pt>
                <c:pt idx="674">
                  <c:v>7275471</c:v>
                </c:pt>
                <c:pt idx="675">
                  <c:v>10889221</c:v>
                </c:pt>
                <c:pt idx="676">
                  <c:v>18801214</c:v>
                </c:pt>
                <c:pt idx="677">
                  <c:v>13132487</c:v>
                </c:pt>
                <c:pt idx="678">
                  <c:v>7618033</c:v>
                </c:pt>
                <c:pt idx="679">
                  <c:v>8620154</c:v>
                </c:pt>
                <c:pt idx="680">
                  <c:v>7990245</c:v>
                </c:pt>
                <c:pt idx="681">
                  <c:v>8152031</c:v>
                </c:pt>
                <c:pt idx="682">
                  <c:v>13802600</c:v>
                </c:pt>
                <c:pt idx="683">
                  <c:v>7308229</c:v>
                </c:pt>
                <c:pt idx="684">
                  <c:v>5124012</c:v>
                </c:pt>
                <c:pt idx="685">
                  <c:v>6979849</c:v>
                </c:pt>
                <c:pt idx="686">
                  <c:v>7785767</c:v>
                </c:pt>
                <c:pt idx="687">
                  <c:v>4079205</c:v>
                </c:pt>
                <c:pt idx="688">
                  <c:v>3744754</c:v>
                </c:pt>
                <c:pt idx="689">
                  <c:v>7436428</c:v>
                </c:pt>
                <c:pt idx="690">
                  <c:v>10857863</c:v>
                </c:pt>
                <c:pt idx="691">
                  <c:v>6655278</c:v>
                </c:pt>
                <c:pt idx="692">
                  <c:v>4335388</c:v>
                </c:pt>
                <c:pt idx="693">
                  <c:v>5997810</c:v>
                </c:pt>
                <c:pt idx="694">
                  <c:v>4886687</c:v>
                </c:pt>
                <c:pt idx="695">
                  <c:v>6366606</c:v>
                </c:pt>
                <c:pt idx="696">
                  <c:v>6821878</c:v>
                </c:pt>
                <c:pt idx="697">
                  <c:v>8745691</c:v>
                </c:pt>
                <c:pt idx="698">
                  <c:v>13785216</c:v>
                </c:pt>
                <c:pt idx="699">
                  <c:v>15127505</c:v>
                </c:pt>
                <c:pt idx="700">
                  <c:v>19336856</c:v>
                </c:pt>
                <c:pt idx="701">
                  <c:v>12800220</c:v>
                </c:pt>
                <c:pt idx="702">
                  <c:v>12136292</c:v>
                </c:pt>
                <c:pt idx="703">
                  <c:v>20417559</c:v>
                </c:pt>
                <c:pt idx="704">
                  <c:v>11310918</c:v>
                </c:pt>
                <c:pt idx="705">
                  <c:v>18667895</c:v>
                </c:pt>
                <c:pt idx="706">
                  <c:v>6599973</c:v>
                </c:pt>
                <c:pt idx="707">
                  <c:v>10158101</c:v>
                </c:pt>
                <c:pt idx="708">
                  <c:v>11283868</c:v>
                </c:pt>
                <c:pt idx="709">
                  <c:v>14370803</c:v>
                </c:pt>
                <c:pt idx="710">
                  <c:v>15789845</c:v>
                </c:pt>
                <c:pt idx="711">
                  <c:v>12027620</c:v>
                </c:pt>
                <c:pt idx="712">
                  <c:v>10268755</c:v>
                </c:pt>
                <c:pt idx="713">
                  <c:v>10367665</c:v>
                </c:pt>
                <c:pt idx="714">
                  <c:v>11154625</c:v>
                </c:pt>
                <c:pt idx="715">
                  <c:v>11026317</c:v>
                </c:pt>
                <c:pt idx="716">
                  <c:v>5871301</c:v>
                </c:pt>
                <c:pt idx="717">
                  <c:v>7543383</c:v>
                </c:pt>
                <c:pt idx="718">
                  <c:v>20696101</c:v>
                </c:pt>
                <c:pt idx="719">
                  <c:v>12888266</c:v>
                </c:pt>
                <c:pt idx="720">
                  <c:v>9346277</c:v>
                </c:pt>
                <c:pt idx="721">
                  <c:v>10519771</c:v>
                </c:pt>
                <c:pt idx="722">
                  <c:v>24036012</c:v>
                </c:pt>
                <c:pt idx="723">
                  <c:v>11786959</c:v>
                </c:pt>
                <c:pt idx="724">
                  <c:v>9209405</c:v>
                </c:pt>
                <c:pt idx="725">
                  <c:v>8003177</c:v>
                </c:pt>
                <c:pt idx="726">
                  <c:v>5696780</c:v>
                </c:pt>
                <c:pt idx="727">
                  <c:v>5896123</c:v>
                </c:pt>
                <c:pt idx="728">
                  <c:v>6534775</c:v>
                </c:pt>
                <c:pt idx="729">
                  <c:v>9354326</c:v>
                </c:pt>
                <c:pt idx="730">
                  <c:v>6902156</c:v>
                </c:pt>
                <c:pt idx="731">
                  <c:v>12066347</c:v>
                </c:pt>
                <c:pt idx="732">
                  <c:v>11108698</c:v>
                </c:pt>
                <c:pt idx="733">
                  <c:v>9143784</c:v>
                </c:pt>
                <c:pt idx="734">
                  <c:v>12203322</c:v>
                </c:pt>
                <c:pt idx="735">
                  <c:v>8404513</c:v>
                </c:pt>
                <c:pt idx="736">
                  <c:v>21626183</c:v>
                </c:pt>
                <c:pt idx="737">
                  <c:v>19677700</c:v>
                </c:pt>
                <c:pt idx="738">
                  <c:v>17869152</c:v>
                </c:pt>
                <c:pt idx="739">
                  <c:v>43514448</c:v>
                </c:pt>
                <c:pt idx="740">
                  <c:v>19882944</c:v>
                </c:pt>
                <c:pt idx="741">
                  <c:v>19165409</c:v>
                </c:pt>
                <c:pt idx="742">
                  <c:v>17156021</c:v>
                </c:pt>
                <c:pt idx="743">
                  <c:v>12041897</c:v>
                </c:pt>
                <c:pt idx="744">
                  <c:v>18764371</c:v>
                </c:pt>
                <c:pt idx="745">
                  <c:v>12880824</c:v>
                </c:pt>
                <c:pt idx="746">
                  <c:v>48183882</c:v>
                </c:pt>
                <c:pt idx="747">
                  <c:v>32283965</c:v>
                </c:pt>
                <c:pt idx="748">
                  <c:v>10906914</c:v>
                </c:pt>
                <c:pt idx="749">
                  <c:v>15606705</c:v>
                </c:pt>
                <c:pt idx="750">
                  <c:v>12150077</c:v>
                </c:pt>
                <c:pt idx="751">
                  <c:v>20383983</c:v>
                </c:pt>
                <c:pt idx="752">
                  <c:v>37518847</c:v>
                </c:pt>
                <c:pt idx="753">
                  <c:v>16949793</c:v>
                </c:pt>
                <c:pt idx="754">
                  <c:v>14084218</c:v>
                </c:pt>
                <c:pt idx="755">
                  <c:v>19414653</c:v>
                </c:pt>
                <c:pt idx="756">
                  <c:v>18604659</c:v>
                </c:pt>
                <c:pt idx="757">
                  <c:v>11147636</c:v>
                </c:pt>
                <c:pt idx="758">
                  <c:v>7982145</c:v>
                </c:pt>
                <c:pt idx="759">
                  <c:v>7783743</c:v>
                </c:pt>
                <c:pt idx="760">
                  <c:v>8617768</c:v>
                </c:pt>
                <c:pt idx="761">
                  <c:v>14895144</c:v>
                </c:pt>
                <c:pt idx="762">
                  <c:v>12395632</c:v>
                </c:pt>
                <c:pt idx="763">
                  <c:v>6840352</c:v>
                </c:pt>
                <c:pt idx="764">
                  <c:v>9733507</c:v>
                </c:pt>
                <c:pt idx="765">
                  <c:v>11106855</c:v>
                </c:pt>
                <c:pt idx="766">
                  <c:v>23020545</c:v>
                </c:pt>
                <c:pt idx="767">
                  <c:v>17620081</c:v>
                </c:pt>
                <c:pt idx="768">
                  <c:v>34882639</c:v>
                </c:pt>
                <c:pt idx="769">
                  <c:v>101612428</c:v>
                </c:pt>
                <c:pt idx="770">
                  <c:v>30764728</c:v>
                </c:pt>
                <c:pt idx="771">
                  <c:v>73253754</c:v>
                </c:pt>
                <c:pt idx="772">
                  <c:v>15933704</c:v>
                </c:pt>
                <c:pt idx="773">
                  <c:v>20994563</c:v>
                </c:pt>
                <c:pt idx="774">
                  <c:v>19609321</c:v>
                </c:pt>
                <c:pt idx="775">
                  <c:v>19227982</c:v>
                </c:pt>
                <c:pt idx="776">
                  <c:v>38861818</c:v>
                </c:pt>
                <c:pt idx="777">
                  <c:v>10274145</c:v>
                </c:pt>
                <c:pt idx="778">
                  <c:v>12227545</c:v>
                </c:pt>
                <c:pt idx="779">
                  <c:v>27933211</c:v>
                </c:pt>
                <c:pt idx="780">
                  <c:v>9382308</c:v>
                </c:pt>
                <c:pt idx="781">
                  <c:v>8853678</c:v>
                </c:pt>
                <c:pt idx="782">
                  <c:v>12664520</c:v>
                </c:pt>
                <c:pt idx="783">
                  <c:v>18358410</c:v>
                </c:pt>
                <c:pt idx="784">
                  <c:v>16147032</c:v>
                </c:pt>
                <c:pt idx="785">
                  <c:v>8516632</c:v>
                </c:pt>
                <c:pt idx="786">
                  <c:v>6708894</c:v>
                </c:pt>
                <c:pt idx="787">
                  <c:v>14008124</c:v>
                </c:pt>
                <c:pt idx="788">
                  <c:v>18088372</c:v>
                </c:pt>
                <c:pt idx="789">
                  <c:v>8746243</c:v>
                </c:pt>
                <c:pt idx="790">
                  <c:v>9973638</c:v>
                </c:pt>
                <c:pt idx="791">
                  <c:v>21312388</c:v>
                </c:pt>
                <c:pt idx="792">
                  <c:v>16582634</c:v>
                </c:pt>
                <c:pt idx="793">
                  <c:v>7112139</c:v>
                </c:pt>
                <c:pt idx="794">
                  <c:v>12021404</c:v>
                </c:pt>
                <c:pt idx="795">
                  <c:v>5845170</c:v>
                </c:pt>
                <c:pt idx="796">
                  <c:v>29211997</c:v>
                </c:pt>
                <c:pt idx="797">
                  <c:v>14773975</c:v>
                </c:pt>
                <c:pt idx="798">
                  <c:v>11627882</c:v>
                </c:pt>
                <c:pt idx="799">
                  <c:v>12064043</c:v>
                </c:pt>
                <c:pt idx="800">
                  <c:v>23228909</c:v>
                </c:pt>
                <c:pt idx="801">
                  <c:v>22904276</c:v>
                </c:pt>
                <c:pt idx="802">
                  <c:v>10355056</c:v>
                </c:pt>
                <c:pt idx="803">
                  <c:v>25968921</c:v>
                </c:pt>
                <c:pt idx="804">
                  <c:v>10511646</c:v>
                </c:pt>
                <c:pt idx="805">
                  <c:v>23412609</c:v>
                </c:pt>
                <c:pt idx="806">
                  <c:v>13985963</c:v>
                </c:pt>
                <c:pt idx="807">
                  <c:v>7302959</c:v>
                </c:pt>
                <c:pt idx="808">
                  <c:v>11000103</c:v>
                </c:pt>
                <c:pt idx="809">
                  <c:v>7565080</c:v>
                </c:pt>
                <c:pt idx="810">
                  <c:v>23025186</c:v>
                </c:pt>
                <c:pt idx="811">
                  <c:v>11453714</c:v>
                </c:pt>
                <c:pt idx="812">
                  <c:v>10760726</c:v>
                </c:pt>
                <c:pt idx="813">
                  <c:v>10627595</c:v>
                </c:pt>
                <c:pt idx="814">
                  <c:v>26234369</c:v>
                </c:pt>
                <c:pt idx="815">
                  <c:v>12761457</c:v>
                </c:pt>
                <c:pt idx="816">
                  <c:v>11827050</c:v>
                </c:pt>
                <c:pt idx="817">
                  <c:v>9310198</c:v>
                </c:pt>
                <c:pt idx="818">
                  <c:v>10430363</c:v>
                </c:pt>
                <c:pt idx="819">
                  <c:v>20524428</c:v>
                </c:pt>
                <c:pt idx="820">
                  <c:v>28214102</c:v>
                </c:pt>
                <c:pt idx="821">
                  <c:v>15519148</c:v>
                </c:pt>
                <c:pt idx="822">
                  <c:v>46019632</c:v>
                </c:pt>
                <c:pt idx="823">
                  <c:v>27151351</c:v>
                </c:pt>
                <c:pt idx="824">
                  <c:v>31119999</c:v>
                </c:pt>
                <c:pt idx="825">
                  <c:v>28448041</c:v>
                </c:pt>
                <c:pt idx="826">
                  <c:v>11432393</c:v>
                </c:pt>
                <c:pt idx="827">
                  <c:v>12670589</c:v>
                </c:pt>
                <c:pt idx="828">
                  <c:v>10352936</c:v>
                </c:pt>
                <c:pt idx="829">
                  <c:v>9283802</c:v>
                </c:pt>
                <c:pt idx="830">
                  <c:v>9217804</c:v>
                </c:pt>
                <c:pt idx="831">
                  <c:v>14098178</c:v>
                </c:pt>
                <c:pt idx="832">
                  <c:v>10909803</c:v>
                </c:pt>
                <c:pt idx="833">
                  <c:v>14585806</c:v>
                </c:pt>
                <c:pt idx="834">
                  <c:v>25205627</c:v>
                </c:pt>
                <c:pt idx="835">
                  <c:v>9362433</c:v>
                </c:pt>
                <c:pt idx="836">
                  <c:v>10260449</c:v>
                </c:pt>
                <c:pt idx="837">
                  <c:v>11084805</c:v>
                </c:pt>
                <c:pt idx="838">
                  <c:v>37012589</c:v>
                </c:pt>
                <c:pt idx="839">
                  <c:v>17866326</c:v>
                </c:pt>
                <c:pt idx="840">
                  <c:v>12894747</c:v>
                </c:pt>
                <c:pt idx="841">
                  <c:v>10763335</c:v>
                </c:pt>
                <c:pt idx="842">
                  <c:v>7159756</c:v>
                </c:pt>
                <c:pt idx="843">
                  <c:v>9127340</c:v>
                </c:pt>
                <c:pt idx="844">
                  <c:v>12929586</c:v>
                </c:pt>
                <c:pt idx="845">
                  <c:v>20521107</c:v>
                </c:pt>
                <c:pt idx="846">
                  <c:v>26470260</c:v>
                </c:pt>
                <c:pt idx="847">
                  <c:v>11618210</c:v>
                </c:pt>
                <c:pt idx="848">
                  <c:v>18831345</c:v>
                </c:pt>
                <c:pt idx="849">
                  <c:v>18962800</c:v>
                </c:pt>
                <c:pt idx="850">
                  <c:v>16251032</c:v>
                </c:pt>
                <c:pt idx="851">
                  <c:v>12996711</c:v>
                </c:pt>
                <c:pt idx="852">
                  <c:v>21094737</c:v>
                </c:pt>
                <c:pt idx="853">
                  <c:v>24977373</c:v>
                </c:pt>
                <c:pt idx="854">
                  <c:v>18066586</c:v>
                </c:pt>
                <c:pt idx="855">
                  <c:v>54044423</c:v>
                </c:pt>
                <c:pt idx="856">
                  <c:v>42073323</c:v>
                </c:pt>
                <c:pt idx="857">
                  <c:v>17878994</c:v>
                </c:pt>
                <c:pt idx="858">
                  <c:v>20736094</c:v>
                </c:pt>
                <c:pt idx="859">
                  <c:v>12496895</c:v>
                </c:pt>
                <c:pt idx="860">
                  <c:v>13375906</c:v>
                </c:pt>
                <c:pt idx="861">
                  <c:v>11538215</c:v>
                </c:pt>
                <c:pt idx="862">
                  <c:v>11665529</c:v>
                </c:pt>
                <c:pt idx="863">
                  <c:v>21320064</c:v>
                </c:pt>
                <c:pt idx="864">
                  <c:v>24094139</c:v>
                </c:pt>
                <c:pt idx="865">
                  <c:v>13722855</c:v>
                </c:pt>
                <c:pt idx="866">
                  <c:v>10900585</c:v>
                </c:pt>
                <c:pt idx="867">
                  <c:v>20558134</c:v>
                </c:pt>
                <c:pt idx="868">
                  <c:v>9201793</c:v>
                </c:pt>
                <c:pt idx="869">
                  <c:v>9076097</c:v>
                </c:pt>
                <c:pt idx="870">
                  <c:v>7757706</c:v>
                </c:pt>
                <c:pt idx="871">
                  <c:v>9253598</c:v>
                </c:pt>
                <c:pt idx="872">
                  <c:v>13137392</c:v>
                </c:pt>
                <c:pt idx="873">
                  <c:v>10198725</c:v>
                </c:pt>
                <c:pt idx="874">
                  <c:v>6633171</c:v>
                </c:pt>
                <c:pt idx="875">
                  <c:v>8474830</c:v>
                </c:pt>
                <c:pt idx="876">
                  <c:v>8364290</c:v>
                </c:pt>
                <c:pt idx="877">
                  <c:v>7891446</c:v>
                </c:pt>
                <c:pt idx="878">
                  <c:v>7825037</c:v>
                </c:pt>
                <c:pt idx="879">
                  <c:v>7954114</c:v>
                </c:pt>
                <c:pt idx="880">
                  <c:v>7782216</c:v>
                </c:pt>
                <c:pt idx="881">
                  <c:v>18670632</c:v>
                </c:pt>
                <c:pt idx="882">
                  <c:v>14947670</c:v>
                </c:pt>
                <c:pt idx="883">
                  <c:v>15885469</c:v>
                </c:pt>
                <c:pt idx="884">
                  <c:v>12018677</c:v>
                </c:pt>
                <c:pt idx="885">
                  <c:v>8414967</c:v>
                </c:pt>
                <c:pt idx="886">
                  <c:v>10898888</c:v>
                </c:pt>
                <c:pt idx="887">
                  <c:v>13716752</c:v>
                </c:pt>
                <c:pt idx="888">
                  <c:v>13736044</c:v>
                </c:pt>
                <c:pt idx="889">
                  <c:v>10911995</c:v>
                </c:pt>
                <c:pt idx="890">
                  <c:v>14922832</c:v>
                </c:pt>
                <c:pt idx="891">
                  <c:v>18377550</c:v>
                </c:pt>
                <c:pt idx="892">
                  <c:v>8825193</c:v>
                </c:pt>
                <c:pt idx="893">
                  <c:v>7531604</c:v>
                </c:pt>
                <c:pt idx="894">
                  <c:v>10486015</c:v>
                </c:pt>
                <c:pt idx="895">
                  <c:v>5429619</c:v>
                </c:pt>
                <c:pt idx="896">
                  <c:v>13925311</c:v>
                </c:pt>
                <c:pt idx="897">
                  <c:v>23808194</c:v>
                </c:pt>
                <c:pt idx="898">
                  <c:v>7804918</c:v>
                </c:pt>
                <c:pt idx="899">
                  <c:v>6755320</c:v>
                </c:pt>
                <c:pt idx="900">
                  <c:v>8476223</c:v>
                </c:pt>
                <c:pt idx="901">
                  <c:v>15489991</c:v>
                </c:pt>
                <c:pt idx="902">
                  <c:v>17251962</c:v>
                </c:pt>
                <c:pt idx="903">
                  <c:v>10531347</c:v>
                </c:pt>
                <c:pt idx="904">
                  <c:v>5089315</c:v>
                </c:pt>
                <c:pt idx="905">
                  <c:v>15870147</c:v>
                </c:pt>
                <c:pt idx="906">
                  <c:v>18228912</c:v>
                </c:pt>
                <c:pt idx="907">
                  <c:v>16479772</c:v>
                </c:pt>
                <c:pt idx="908">
                  <c:v>9502367</c:v>
                </c:pt>
                <c:pt idx="909">
                  <c:v>23952459</c:v>
                </c:pt>
                <c:pt idx="910">
                  <c:v>12799333</c:v>
                </c:pt>
                <c:pt idx="911">
                  <c:v>14394986</c:v>
                </c:pt>
                <c:pt idx="912">
                  <c:v>6712103</c:v>
                </c:pt>
                <c:pt idx="913">
                  <c:v>8037662</c:v>
                </c:pt>
                <c:pt idx="914">
                  <c:v>6682083</c:v>
                </c:pt>
                <c:pt idx="915">
                  <c:v>7385299</c:v>
                </c:pt>
                <c:pt idx="916">
                  <c:v>21778099</c:v>
                </c:pt>
                <c:pt idx="917">
                  <c:v>7395274</c:v>
                </c:pt>
                <c:pt idx="918">
                  <c:v>12299288</c:v>
                </c:pt>
                <c:pt idx="919">
                  <c:v>10162570</c:v>
                </c:pt>
                <c:pt idx="920">
                  <c:v>13092399</c:v>
                </c:pt>
                <c:pt idx="921">
                  <c:v>30961625</c:v>
                </c:pt>
                <c:pt idx="922">
                  <c:v>8614446</c:v>
                </c:pt>
                <c:pt idx="923">
                  <c:v>6866704</c:v>
                </c:pt>
                <c:pt idx="924">
                  <c:v>6393835</c:v>
                </c:pt>
                <c:pt idx="925">
                  <c:v>7810874</c:v>
                </c:pt>
                <c:pt idx="926">
                  <c:v>8429731</c:v>
                </c:pt>
                <c:pt idx="927">
                  <c:v>7327830</c:v>
                </c:pt>
                <c:pt idx="928">
                  <c:v>11313985</c:v>
                </c:pt>
                <c:pt idx="929">
                  <c:v>8924280</c:v>
                </c:pt>
                <c:pt idx="930">
                  <c:v>6090462</c:v>
                </c:pt>
                <c:pt idx="931">
                  <c:v>5488948</c:v>
                </c:pt>
                <c:pt idx="932">
                  <c:v>5041916</c:v>
                </c:pt>
                <c:pt idx="933">
                  <c:v>11120381</c:v>
                </c:pt>
                <c:pt idx="934">
                  <c:v>11639562</c:v>
                </c:pt>
                <c:pt idx="935">
                  <c:v>8135260</c:v>
                </c:pt>
                <c:pt idx="936">
                  <c:v>6857374</c:v>
                </c:pt>
                <c:pt idx="937">
                  <c:v>19559847</c:v>
                </c:pt>
                <c:pt idx="938">
                  <c:v>19464568</c:v>
                </c:pt>
                <c:pt idx="939">
                  <c:v>13891991</c:v>
                </c:pt>
                <c:pt idx="940">
                  <c:v>6539846</c:v>
                </c:pt>
                <c:pt idx="941">
                  <c:v>7067013</c:v>
                </c:pt>
                <c:pt idx="942">
                  <c:v>14412539</c:v>
                </c:pt>
                <c:pt idx="943">
                  <c:v>8346687</c:v>
                </c:pt>
                <c:pt idx="944">
                  <c:v>5478598</c:v>
                </c:pt>
                <c:pt idx="945">
                  <c:v>22218251</c:v>
                </c:pt>
                <c:pt idx="946">
                  <c:v>13439484</c:v>
                </c:pt>
                <c:pt idx="947">
                  <c:v>26415053</c:v>
                </c:pt>
                <c:pt idx="948">
                  <c:v>7551407</c:v>
                </c:pt>
                <c:pt idx="949">
                  <c:v>11703384</c:v>
                </c:pt>
                <c:pt idx="950">
                  <c:v>8823805</c:v>
                </c:pt>
                <c:pt idx="951">
                  <c:v>6745816</c:v>
                </c:pt>
                <c:pt idx="952">
                  <c:v>12884401</c:v>
                </c:pt>
                <c:pt idx="953">
                  <c:v>31753858</c:v>
                </c:pt>
                <c:pt idx="954">
                  <c:v>9007264</c:v>
                </c:pt>
                <c:pt idx="955">
                  <c:v>19844152</c:v>
                </c:pt>
                <c:pt idx="956">
                  <c:v>12365167</c:v>
                </c:pt>
                <c:pt idx="957">
                  <c:v>14599270</c:v>
                </c:pt>
                <c:pt idx="958">
                  <c:v>19481288</c:v>
                </c:pt>
                <c:pt idx="959">
                  <c:v>18837469</c:v>
                </c:pt>
                <c:pt idx="960">
                  <c:v>11564497</c:v>
                </c:pt>
                <c:pt idx="961">
                  <c:v>8848065</c:v>
                </c:pt>
                <c:pt idx="962">
                  <c:v>16279450</c:v>
                </c:pt>
                <c:pt idx="963">
                  <c:v>13074810</c:v>
                </c:pt>
                <c:pt idx="964">
                  <c:v>13276195</c:v>
                </c:pt>
                <c:pt idx="965">
                  <c:v>18229128</c:v>
                </c:pt>
                <c:pt idx="966">
                  <c:v>26124980</c:v>
                </c:pt>
                <c:pt idx="967">
                  <c:v>37072992</c:v>
                </c:pt>
                <c:pt idx="968">
                  <c:v>22009958</c:v>
                </c:pt>
                <c:pt idx="969">
                  <c:v>14294780</c:v>
                </c:pt>
                <c:pt idx="970">
                  <c:v>13482926</c:v>
                </c:pt>
                <c:pt idx="971">
                  <c:v>19732649</c:v>
                </c:pt>
                <c:pt idx="972">
                  <c:v>9145729</c:v>
                </c:pt>
                <c:pt idx="973">
                  <c:v>17799607</c:v>
                </c:pt>
                <c:pt idx="974">
                  <c:v>18048459</c:v>
                </c:pt>
                <c:pt idx="975">
                  <c:v>9786805</c:v>
                </c:pt>
                <c:pt idx="976">
                  <c:v>15774070</c:v>
                </c:pt>
                <c:pt idx="977">
                  <c:v>11270061</c:v>
                </c:pt>
                <c:pt idx="978">
                  <c:v>8742771</c:v>
                </c:pt>
                <c:pt idx="979">
                  <c:v>15686500</c:v>
                </c:pt>
                <c:pt idx="980">
                  <c:v>9619648</c:v>
                </c:pt>
                <c:pt idx="981">
                  <c:v>8888248</c:v>
                </c:pt>
                <c:pt idx="982">
                  <c:v>9665384</c:v>
                </c:pt>
                <c:pt idx="983">
                  <c:v>10480203</c:v>
                </c:pt>
                <c:pt idx="984">
                  <c:v>20813072</c:v>
                </c:pt>
                <c:pt idx="985">
                  <c:v>15158510</c:v>
                </c:pt>
                <c:pt idx="986">
                  <c:v>22496695</c:v>
                </c:pt>
                <c:pt idx="987">
                  <c:v>13546181</c:v>
                </c:pt>
                <c:pt idx="988">
                  <c:v>16991730</c:v>
                </c:pt>
                <c:pt idx="989">
                  <c:v>18923681</c:v>
                </c:pt>
                <c:pt idx="990">
                  <c:v>12836283</c:v>
                </c:pt>
                <c:pt idx="991">
                  <c:v>17469129</c:v>
                </c:pt>
                <c:pt idx="992">
                  <c:v>18875982</c:v>
                </c:pt>
                <c:pt idx="993">
                  <c:v>12227140</c:v>
                </c:pt>
                <c:pt idx="994">
                  <c:v>14288751</c:v>
                </c:pt>
                <c:pt idx="995">
                  <c:v>13884574</c:v>
                </c:pt>
                <c:pt idx="996">
                  <c:v>12989029</c:v>
                </c:pt>
                <c:pt idx="997">
                  <c:v>14124236</c:v>
                </c:pt>
                <c:pt idx="998">
                  <c:v>11975265</c:v>
                </c:pt>
                <c:pt idx="999">
                  <c:v>12998403</c:v>
                </c:pt>
                <c:pt idx="1000">
                  <c:v>7079032</c:v>
                </c:pt>
                <c:pt idx="1001">
                  <c:v>15355585</c:v>
                </c:pt>
                <c:pt idx="1002">
                  <c:v>8240986</c:v>
                </c:pt>
                <c:pt idx="1003">
                  <c:v>7037625</c:v>
                </c:pt>
                <c:pt idx="1004">
                  <c:v>15760891</c:v>
                </c:pt>
                <c:pt idx="1005">
                  <c:v>19051003</c:v>
                </c:pt>
                <c:pt idx="1006">
                  <c:v>31954776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7-4F18-B39F-40FD3814C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933552"/>
        <c:axId val="695932832"/>
      </c:areaChart>
      <c:dateAx>
        <c:axId val="69593355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32832"/>
        <c:crosses val="autoZero"/>
        <c:auto val="1"/>
        <c:lblOffset val="100"/>
        <c:baseTimeUnit val="days"/>
      </c:dateAx>
      <c:valAx>
        <c:axId val="695932832"/>
        <c:scaling>
          <c:orientation val="minMax"/>
        </c:scaling>
        <c:delete val="0"/>
        <c:axPos val="l"/>
        <c:numFmt formatCode="0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33552"/>
        <c:crosses val="autoZero"/>
        <c:crossBetween val="midCat"/>
        <c:dispUnits>
          <c:builtInUnit val="millions"/>
        </c:dispUnits>
      </c:valAx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D2-41E1-833F-A41A59F04B6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D2-41E1-833F-A41A59F04B6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D2-41E1-833F-A41A59F04B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Input!$B$37:$B$39</c:f>
              <c:strCache>
                <c:ptCount val="3"/>
                <c:pt idx="0">
                  <c:v>FII</c:v>
                </c:pt>
                <c:pt idx="1">
                  <c:v>DII</c:v>
                </c:pt>
                <c:pt idx="2">
                  <c:v>Public </c:v>
                </c:pt>
              </c:strCache>
            </c:strRef>
          </c:cat>
          <c:val>
            <c:numRef>
              <c:f>Input!$C$37:$C$39</c:f>
              <c:numCache>
                <c:formatCode>0%</c:formatCode>
                <c:ptCount val="3"/>
                <c:pt idx="0">
                  <c:v>0.36109999999999998</c:v>
                </c:pt>
                <c:pt idx="1">
                  <c:v>0.48899999999999999</c:v>
                </c:pt>
                <c:pt idx="2">
                  <c:v>0.14949999999999999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D2-41E1-833F-A41A59F04B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95929232"/>
        <c:axId val="695929592"/>
      </c:barChart>
      <c:catAx>
        <c:axId val="69592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29592"/>
        <c:crosses val="autoZero"/>
        <c:auto val="1"/>
        <c:lblAlgn val="ctr"/>
        <c:lblOffset val="100"/>
        <c:noMultiLvlLbl val="0"/>
      </c:catAx>
      <c:valAx>
        <c:axId val="69592959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2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77-4C89-93A9-552B61FEF16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77-4C89-93A9-552B61FEF16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77-4C89-93A9-552B61FEF1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Input!$B$37:$B$39</c:f>
              <c:strCache>
                <c:ptCount val="3"/>
                <c:pt idx="0">
                  <c:v>FII</c:v>
                </c:pt>
                <c:pt idx="1">
                  <c:v>DII</c:v>
                </c:pt>
                <c:pt idx="2">
                  <c:v>Public </c:v>
                </c:pt>
              </c:strCache>
            </c:strRef>
          </c:cat>
          <c:val>
            <c:numRef>
              <c:f>Input!$C$37:$C$39</c:f>
              <c:numCache>
                <c:formatCode>0%</c:formatCode>
                <c:ptCount val="3"/>
                <c:pt idx="0">
                  <c:v>0.36109999999999998</c:v>
                </c:pt>
                <c:pt idx="1">
                  <c:v>0.48899999999999999</c:v>
                </c:pt>
                <c:pt idx="2">
                  <c:v>0.14949999999999999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7-4C89-93A9-552B61FEF1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95929232"/>
        <c:axId val="695929592"/>
      </c:barChart>
      <c:catAx>
        <c:axId val="69592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29592"/>
        <c:crosses val="autoZero"/>
        <c:auto val="1"/>
        <c:lblAlgn val="ctr"/>
        <c:lblOffset val="100"/>
        <c:noMultiLvlLbl val="0"/>
      </c:catAx>
      <c:valAx>
        <c:axId val="69592959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2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Pt>
            <c:idx val="59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DAAB-4600-989E-DB8E837D7165}"/>
              </c:ext>
            </c:extLst>
          </c:dPt>
          <c:cat>
            <c:numRef>
              <c:f>Sheet2!$A$1009:$A$1234</c:f>
              <c:numCache>
                <c:formatCode>m/d/yyyy</c:formatCode>
                <c:ptCount val="226"/>
              </c:numCache>
            </c:numRef>
          </c:cat>
          <c:val>
            <c:numRef>
              <c:f>Sheet2!$B$1009:$B$1234</c:f>
              <c:numCache>
                <c:formatCode>General</c:formatCode>
                <c:ptCount val="226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Sheet2!#REF!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AAB-4600-989E-DB8E837D7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8767840"/>
        <c:axId val="588762080"/>
      </c:lineChart>
      <c:catAx>
        <c:axId val="58876784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62080"/>
        <c:crosses val="autoZero"/>
        <c:auto val="1"/>
        <c:lblAlgn val="ctr"/>
        <c:lblOffset val="100"/>
        <c:noMultiLvlLbl val="0"/>
      </c:catAx>
      <c:valAx>
        <c:axId val="588762080"/>
        <c:scaling>
          <c:orientation val="minMax"/>
          <c:max val="550"/>
          <c:min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 cap="rnd">
              <a:solidFill>
                <a:srgbClr val="062F62"/>
              </a:solidFill>
              <a:round/>
            </a:ln>
            <a:effectLst/>
          </c:spPr>
          <c:marker>
            <c:symbol val="none"/>
          </c:marker>
          <c:cat>
            <c:numRef>
              <c:f>Sheet2!$A$2:$A$1008</c:f>
              <c:numCache>
                <c:formatCode>m/d/yyyy</c:formatCode>
                <c:ptCount val="1007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44235</c:v>
                </c:pt>
                <c:pt idx="6">
                  <c:v>44236</c:v>
                </c:pt>
                <c:pt idx="7">
                  <c:v>44237</c:v>
                </c:pt>
                <c:pt idx="8">
                  <c:v>44238</c:v>
                </c:pt>
                <c:pt idx="9">
                  <c:v>44239</c:v>
                </c:pt>
                <c:pt idx="10">
                  <c:v>44242</c:v>
                </c:pt>
                <c:pt idx="11">
                  <c:v>44243</c:v>
                </c:pt>
                <c:pt idx="12">
                  <c:v>44244</c:v>
                </c:pt>
                <c:pt idx="13">
                  <c:v>44245</c:v>
                </c:pt>
                <c:pt idx="14">
                  <c:v>44246</c:v>
                </c:pt>
                <c:pt idx="15">
                  <c:v>44249</c:v>
                </c:pt>
                <c:pt idx="16">
                  <c:v>44250</c:v>
                </c:pt>
                <c:pt idx="17">
                  <c:v>44251</c:v>
                </c:pt>
                <c:pt idx="18">
                  <c:v>44252</c:v>
                </c:pt>
                <c:pt idx="19">
                  <c:v>44253</c:v>
                </c:pt>
                <c:pt idx="20">
                  <c:v>44256</c:v>
                </c:pt>
                <c:pt idx="21">
                  <c:v>44257</c:v>
                </c:pt>
                <c:pt idx="22">
                  <c:v>44258</c:v>
                </c:pt>
                <c:pt idx="23">
                  <c:v>44259</c:v>
                </c:pt>
                <c:pt idx="24">
                  <c:v>44260</c:v>
                </c:pt>
                <c:pt idx="25">
                  <c:v>44263</c:v>
                </c:pt>
                <c:pt idx="26">
                  <c:v>44264</c:v>
                </c:pt>
                <c:pt idx="27">
                  <c:v>44265</c:v>
                </c:pt>
                <c:pt idx="28">
                  <c:v>44267</c:v>
                </c:pt>
                <c:pt idx="29">
                  <c:v>44270</c:v>
                </c:pt>
                <c:pt idx="30">
                  <c:v>44271</c:v>
                </c:pt>
                <c:pt idx="31">
                  <c:v>44272</c:v>
                </c:pt>
                <c:pt idx="32">
                  <c:v>44273</c:v>
                </c:pt>
                <c:pt idx="33">
                  <c:v>44274</c:v>
                </c:pt>
                <c:pt idx="34">
                  <c:v>44277</c:v>
                </c:pt>
                <c:pt idx="35">
                  <c:v>44278</c:v>
                </c:pt>
                <c:pt idx="36">
                  <c:v>44279</c:v>
                </c:pt>
                <c:pt idx="37">
                  <c:v>44280</c:v>
                </c:pt>
                <c:pt idx="38">
                  <c:v>44281</c:v>
                </c:pt>
                <c:pt idx="39">
                  <c:v>44285</c:v>
                </c:pt>
                <c:pt idx="40">
                  <c:v>44286</c:v>
                </c:pt>
                <c:pt idx="41">
                  <c:v>44287</c:v>
                </c:pt>
                <c:pt idx="42">
                  <c:v>44291</c:v>
                </c:pt>
                <c:pt idx="43">
                  <c:v>44292</c:v>
                </c:pt>
                <c:pt idx="44">
                  <c:v>44293</c:v>
                </c:pt>
                <c:pt idx="45">
                  <c:v>44294</c:v>
                </c:pt>
                <c:pt idx="46">
                  <c:v>44295</c:v>
                </c:pt>
                <c:pt idx="47">
                  <c:v>44298</c:v>
                </c:pt>
                <c:pt idx="48">
                  <c:v>44299</c:v>
                </c:pt>
                <c:pt idx="49">
                  <c:v>44301</c:v>
                </c:pt>
                <c:pt idx="50">
                  <c:v>44302</c:v>
                </c:pt>
                <c:pt idx="51">
                  <c:v>44305</c:v>
                </c:pt>
                <c:pt idx="52">
                  <c:v>44306</c:v>
                </c:pt>
                <c:pt idx="53">
                  <c:v>44308</c:v>
                </c:pt>
                <c:pt idx="54">
                  <c:v>44309</c:v>
                </c:pt>
                <c:pt idx="55">
                  <c:v>44312</c:v>
                </c:pt>
                <c:pt idx="56">
                  <c:v>44313</c:v>
                </c:pt>
                <c:pt idx="57">
                  <c:v>44314</c:v>
                </c:pt>
                <c:pt idx="58">
                  <c:v>44315</c:v>
                </c:pt>
                <c:pt idx="59">
                  <c:v>44316</c:v>
                </c:pt>
                <c:pt idx="60">
                  <c:v>44319</c:v>
                </c:pt>
                <c:pt idx="61">
                  <c:v>44320</c:v>
                </c:pt>
                <c:pt idx="62">
                  <c:v>44321</c:v>
                </c:pt>
                <c:pt idx="63">
                  <c:v>44322</c:v>
                </c:pt>
                <c:pt idx="64">
                  <c:v>44323</c:v>
                </c:pt>
                <c:pt idx="65">
                  <c:v>44326</c:v>
                </c:pt>
                <c:pt idx="66">
                  <c:v>44327</c:v>
                </c:pt>
                <c:pt idx="67">
                  <c:v>44328</c:v>
                </c:pt>
                <c:pt idx="68">
                  <c:v>44330</c:v>
                </c:pt>
                <c:pt idx="69">
                  <c:v>44333</c:v>
                </c:pt>
                <c:pt idx="70">
                  <c:v>44334</c:v>
                </c:pt>
                <c:pt idx="71">
                  <c:v>44335</c:v>
                </c:pt>
                <c:pt idx="72">
                  <c:v>44336</c:v>
                </c:pt>
                <c:pt idx="73">
                  <c:v>44337</c:v>
                </c:pt>
                <c:pt idx="74">
                  <c:v>44340</c:v>
                </c:pt>
                <c:pt idx="75">
                  <c:v>44341</c:v>
                </c:pt>
                <c:pt idx="76">
                  <c:v>44342</c:v>
                </c:pt>
                <c:pt idx="77">
                  <c:v>44343</c:v>
                </c:pt>
                <c:pt idx="78">
                  <c:v>44344</c:v>
                </c:pt>
                <c:pt idx="79">
                  <c:v>44347</c:v>
                </c:pt>
                <c:pt idx="80">
                  <c:v>44348</c:v>
                </c:pt>
                <c:pt idx="81">
                  <c:v>44349</c:v>
                </c:pt>
                <c:pt idx="82">
                  <c:v>44350</c:v>
                </c:pt>
                <c:pt idx="83">
                  <c:v>44351</c:v>
                </c:pt>
                <c:pt idx="84">
                  <c:v>44354</c:v>
                </c:pt>
                <c:pt idx="85">
                  <c:v>44355</c:v>
                </c:pt>
                <c:pt idx="86">
                  <c:v>44356</c:v>
                </c:pt>
                <c:pt idx="87">
                  <c:v>44357</c:v>
                </c:pt>
                <c:pt idx="88">
                  <c:v>44358</c:v>
                </c:pt>
                <c:pt idx="89">
                  <c:v>44361</c:v>
                </c:pt>
                <c:pt idx="90">
                  <c:v>44362</c:v>
                </c:pt>
                <c:pt idx="91">
                  <c:v>44363</c:v>
                </c:pt>
                <c:pt idx="92">
                  <c:v>44364</c:v>
                </c:pt>
                <c:pt idx="93">
                  <c:v>44365</c:v>
                </c:pt>
                <c:pt idx="94">
                  <c:v>44368</c:v>
                </c:pt>
                <c:pt idx="95">
                  <c:v>44369</c:v>
                </c:pt>
                <c:pt idx="96">
                  <c:v>44370</c:v>
                </c:pt>
                <c:pt idx="97">
                  <c:v>44371</c:v>
                </c:pt>
                <c:pt idx="98">
                  <c:v>44372</c:v>
                </c:pt>
                <c:pt idx="99">
                  <c:v>44375</c:v>
                </c:pt>
                <c:pt idx="100">
                  <c:v>44376</c:v>
                </c:pt>
                <c:pt idx="101">
                  <c:v>44377</c:v>
                </c:pt>
                <c:pt idx="102">
                  <c:v>44378</c:v>
                </c:pt>
                <c:pt idx="103">
                  <c:v>44379</c:v>
                </c:pt>
                <c:pt idx="104">
                  <c:v>44382</c:v>
                </c:pt>
                <c:pt idx="105">
                  <c:v>44383</c:v>
                </c:pt>
                <c:pt idx="106">
                  <c:v>44384</c:v>
                </c:pt>
                <c:pt idx="107">
                  <c:v>44385</c:v>
                </c:pt>
                <c:pt idx="108">
                  <c:v>44386</c:v>
                </c:pt>
                <c:pt idx="109">
                  <c:v>44389</c:v>
                </c:pt>
                <c:pt idx="110">
                  <c:v>44390</c:v>
                </c:pt>
                <c:pt idx="111">
                  <c:v>44391</c:v>
                </c:pt>
                <c:pt idx="112">
                  <c:v>44392</c:v>
                </c:pt>
                <c:pt idx="113">
                  <c:v>44393</c:v>
                </c:pt>
                <c:pt idx="114">
                  <c:v>44396</c:v>
                </c:pt>
                <c:pt idx="115">
                  <c:v>44397</c:v>
                </c:pt>
                <c:pt idx="116">
                  <c:v>44399</c:v>
                </c:pt>
                <c:pt idx="117">
                  <c:v>44400</c:v>
                </c:pt>
                <c:pt idx="118">
                  <c:v>44403</c:v>
                </c:pt>
                <c:pt idx="119">
                  <c:v>44404</c:v>
                </c:pt>
                <c:pt idx="120">
                  <c:v>44405</c:v>
                </c:pt>
                <c:pt idx="121">
                  <c:v>44406</c:v>
                </c:pt>
                <c:pt idx="122">
                  <c:v>44407</c:v>
                </c:pt>
                <c:pt idx="123">
                  <c:v>44410</c:v>
                </c:pt>
                <c:pt idx="124">
                  <c:v>44411</c:v>
                </c:pt>
                <c:pt idx="125">
                  <c:v>44412</c:v>
                </c:pt>
                <c:pt idx="126">
                  <c:v>44413</c:v>
                </c:pt>
                <c:pt idx="127">
                  <c:v>44414</c:v>
                </c:pt>
                <c:pt idx="128">
                  <c:v>44417</c:v>
                </c:pt>
                <c:pt idx="129">
                  <c:v>44418</c:v>
                </c:pt>
                <c:pt idx="130">
                  <c:v>44419</c:v>
                </c:pt>
                <c:pt idx="131">
                  <c:v>44420</c:v>
                </c:pt>
                <c:pt idx="132">
                  <c:v>44421</c:v>
                </c:pt>
                <c:pt idx="133">
                  <c:v>44424</c:v>
                </c:pt>
                <c:pt idx="134">
                  <c:v>44425</c:v>
                </c:pt>
                <c:pt idx="135">
                  <c:v>44426</c:v>
                </c:pt>
                <c:pt idx="136">
                  <c:v>44428</c:v>
                </c:pt>
                <c:pt idx="137">
                  <c:v>44431</c:v>
                </c:pt>
                <c:pt idx="138">
                  <c:v>44432</c:v>
                </c:pt>
                <c:pt idx="139">
                  <c:v>44433</c:v>
                </c:pt>
                <c:pt idx="140">
                  <c:v>44434</c:v>
                </c:pt>
                <c:pt idx="141">
                  <c:v>44435</c:v>
                </c:pt>
                <c:pt idx="142">
                  <c:v>44438</c:v>
                </c:pt>
                <c:pt idx="143">
                  <c:v>44439</c:v>
                </c:pt>
                <c:pt idx="144">
                  <c:v>44440</c:v>
                </c:pt>
                <c:pt idx="145">
                  <c:v>44441</c:v>
                </c:pt>
                <c:pt idx="146">
                  <c:v>44442</c:v>
                </c:pt>
                <c:pt idx="147">
                  <c:v>44445</c:v>
                </c:pt>
                <c:pt idx="148">
                  <c:v>44446</c:v>
                </c:pt>
                <c:pt idx="149">
                  <c:v>44447</c:v>
                </c:pt>
                <c:pt idx="150">
                  <c:v>44448</c:v>
                </c:pt>
                <c:pt idx="151">
                  <c:v>44452</c:v>
                </c:pt>
                <c:pt idx="152">
                  <c:v>44453</c:v>
                </c:pt>
                <c:pt idx="153">
                  <c:v>44454</c:v>
                </c:pt>
                <c:pt idx="154">
                  <c:v>44455</c:v>
                </c:pt>
                <c:pt idx="155">
                  <c:v>44456</c:v>
                </c:pt>
                <c:pt idx="156">
                  <c:v>44459</c:v>
                </c:pt>
                <c:pt idx="157">
                  <c:v>44460</c:v>
                </c:pt>
                <c:pt idx="158">
                  <c:v>44461</c:v>
                </c:pt>
                <c:pt idx="159">
                  <c:v>44462</c:v>
                </c:pt>
                <c:pt idx="160">
                  <c:v>44463</c:v>
                </c:pt>
                <c:pt idx="161">
                  <c:v>44466</c:v>
                </c:pt>
                <c:pt idx="162">
                  <c:v>44467</c:v>
                </c:pt>
                <c:pt idx="163">
                  <c:v>44468</c:v>
                </c:pt>
                <c:pt idx="164">
                  <c:v>44469</c:v>
                </c:pt>
                <c:pt idx="165">
                  <c:v>44470</c:v>
                </c:pt>
                <c:pt idx="166">
                  <c:v>44473</c:v>
                </c:pt>
                <c:pt idx="167">
                  <c:v>44474</c:v>
                </c:pt>
                <c:pt idx="168">
                  <c:v>44475</c:v>
                </c:pt>
                <c:pt idx="169">
                  <c:v>44476</c:v>
                </c:pt>
                <c:pt idx="170">
                  <c:v>44477</c:v>
                </c:pt>
                <c:pt idx="171">
                  <c:v>44480</c:v>
                </c:pt>
                <c:pt idx="172">
                  <c:v>44481</c:v>
                </c:pt>
                <c:pt idx="173">
                  <c:v>44482</c:v>
                </c:pt>
                <c:pt idx="174">
                  <c:v>44483</c:v>
                </c:pt>
                <c:pt idx="175">
                  <c:v>44487</c:v>
                </c:pt>
                <c:pt idx="176">
                  <c:v>44488</c:v>
                </c:pt>
                <c:pt idx="177">
                  <c:v>44489</c:v>
                </c:pt>
                <c:pt idx="178">
                  <c:v>44490</c:v>
                </c:pt>
                <c:pt idx="179">
                  <c:v>44491</c:v>
                </c:pt>
                <c:pt idx="180">
                  <c:v>44494</c:v>
                </c:pt>
                <c:pt idx="181">
                  <c:v>44495</c:v>
                </c:pt>
                <c:pt idx="182">
                  <c:v>44496</c:v>
                </c:pt>
                <c:pt idx="183">
                  <c:v>44497</c:v>
                </c:pt>
                <c:pt idx="184">
                  <c:v>44498</c:v>
                </c:pt>
                <c:pt idx="185">
                  <c:v>44501</c:v>
                </c:pt>
                <c:pt idx="186">
                  <c:v>44502</c:v>
                </c:pt>
                <c:pt idx="187">
                  <c:v>44503</c:v>
                </c:pt>
                <c:pt idx="188">
                  <c:v>44504</c:v>
                </c:pt>
                <c:pt idx="189">
                  <c:v>44508</c:v>
                </c:pt>
                <c:pt idx="190">
                  <c:v>44509</c:v>
                </c:pt>
                <c:pt idx="191">
                  <c:v>44510</c:v>
                </c:pt>
                <c:pt idx="192">
                  <c:v>44511</c:v>
                </c:pt>
                <c:pt idx="193">
                  <c:v>44512</c:v>
                </c:pt>
                <c:pt idx="194">
                  <c:v>44515</c:v>
                </c:pt>
                <c:pt idx="195">
                  <c:v>44516</c:v>
                </c:pt>
                <c:pt idx="196">
                  <c:v>44517</c:v>
                </c:pt>
                <c:pt idx="197">
                  <c:v>44518</c:v>
                </c:pt>
                <c:pt idx="198">
                  <c:v>44522</c:v>
                </c:pt>
                <c:pt idx="199">
                  <c:v>44523</c:v>
                </c:pt>
                <c:pt idx="200">
                  <c:v>44524</c:v>
                </c:pt>
                <c:pt idx="201">
                  <c:v>44525</c:v>
                </c:pt>
                <c:pt idx="202">
                  <c:v>44526</c:v>
                </c:pt>
                <c:pt idx="203">
                  <c:v>44529</c:v>
                </c:pt>
                <c:pt idx="204">
                  <c:v>44530</c:v>
                </c:pt>
                <c:pt idx="205">
                  <c:v>44531</c:v>
                </c:pt>
                <c:pt idx="206">
                  <c:v>44532</c:v>
                </c:pt>
                <c:pt idx="207">
                  <c:v>44533</c:v>
                </c:pt>
                <c:pt idx="208">
                  <c:v>44536</c:v>
                </c:pt>
                <c:pt idx="209">
                  <c:v>44537</c:v>
                </c:pt>
                <c:pt idx="210">
                  <c:v>44538</c:v>
                </c:pt>
                <c:pt idx="211">
                  <c:v>44539</c:v>
                </c:pt>
                <c:pt idx="212">
                  <c:v>44540</c:v>
                </c:pt>
                <c:pt idx="213">
                  <c:v>44543</c:v>
                </c:pt>
                <c:pt idx="214">
                  <c:v>44544</c:v>
                </c:pt>
                <c:pt idx="215">
                  <c:v>44545</c:v>
                </c:pt>
                <c:pt idx="216">
                  <c:v>44546</c:v>
                </c:pt>
                <c:pt idx="217">
                  <c:v>44547</c:v>
                </c:pt>
                <c:pt idx="218">
                  <c:v>44550</c:v>
                </c:pt>
                <c:pt idx="219">
                  <c:v>44551</c:v>
                </c:pt>
                <c:pt idx="220">
                  <c:v>44552</c:v>
                </c:pt>
                <c:pt idx="221">
                  <c:v>44553</c:v>
                </c:pt>
                <c:pt idx="222">
                  <c:v>44554</c:v>
                </c:pt>
                <c:pt idx="223">
                  <c:v>44557</c:v>
                </c:pt>
                <c:pt idx="224">
                  <c:v>44558</c:v>
                </c:pt>
                <c:pt idx="225">
                  <c:v>44559</c:v>
                </c:pt>
                <c:pt idx="226">
                  <c:v>44560</c:v>
                </c:pt>
                <c:pt idx="227">
                  <c:v>44561</c:v>
                </c:pt>
                <c:pt idx="228">
                  <c:v>44564</c:v>
                </c:pt>
                <c:pt idx="229">
                  <c:v>44565</c:v>
                </c:pt>
                <c:pt idx="230">
                  <c:v>44566</c:v>
                </c:pt>
                <c:pt idx="231">
                  <c:v>44567</c:v>
                </c:pt>
                <c:pt idx="232">
                  <c:v>44568</c:v>
                </c:pt>
                <c:pt idx="233">
                  <c:v>44571</c:v>
                </c:pt>
                <c:pt idx="234">
                  <c:v>44572</c:v>
                </c:pt>
                <c:pt idx="235">
                  <c:v>44573</c:v>
                </c:pt>
                <c:pt idx="236">
                  <c:v>44574</c:v>
                </c:pt>
                <c:pt idx="237">
                  <c:v>44575</c:v>
                </c:pt>
                <c:pt idx="238">
                  <c:v>44578</c:v>
                </c:pt>
                <c:pt idx="239">
                  <c:v>44579</c:v>
                </c:pt>
                <c:pt idx="240">
                  <c:v>44580</c:v>
                </c:pt>
                <c:pt idx="241">
                  <c:v>44581</c:v>
                </c:pt>
                <c:pt idx="242">
                  <c:v>44582</c:v>
                </c:pt>
                <c:pt idx="243">
                  <c:v>44585</c:v>
                </c:pt>
                <c:pt idx="244">
                  <c:v>44586</c:v>
                </c:pt>
                <c:pt idx="245">
                  <c:v>44588</c:v>
                </c:pt>
                <c:pt idx="246">
                  <c:v>44589</c:v>
                </c:pt>
                <c:pt idx="247">
                  <c:v>44592</c:v>
                </c:pt>
                <c:pt idx="248">
                  <c:v>44593</c:v>
                </c:pt>
                <c:pt idx="249">
                  <c:v>44594</c:v>
                </c:pt>
                <c:pt idx="250">
                  <c:v>44595</c:v>
                </c:pt>
                <c:pt idx="251">
                  <c:v>44596</c:v>
                </c:pt>
                <c:pt idx="252">
                  <c:v>44599</c:v>
                </c:pt>
                <c:pt idx="253">
                  <c:v>44600</c:v>
                </c:pt>
                <c:pt idx="254">
                  <c:v>44601</c:v>
                </c:pt>
                <c:pt idx="255">
                  <c:v>44602</c:v>
                </c:pt>
                <c:pt idx="256">
                  <c:v>44603</c:v>
                </c:pt>
                <c:pt idx="257">
                  <c:v>44606</c:v>
                </c:pt>
                <c:pt idx="258">
                  <c:v>44607</c:v>
                </c:pt>
                <c:pt idx="259">
                  <c:v>44608</c:v>
                </c:pt>
                <c:pt idx="260">
                  <c:v>44609</c:v>
                </c:pt>
                <c:pt idx="261">
                  <c:v>44610</c:v>
                </c:pt>
                <c:pt idx="262">
                  <c:v>44613</c:v>
                </c:pt>
                <c:pt idx="263">
                  <c:v>44614</c:v>
                </c:pt>
                <c:pt idx="264">
                  <c:v>44615</c:v>
                </c:pt>
                <c:pt idx="265">
                  <c:v>44616</c:v>
                </c:pt>
                <c:pt idx="266">
                  <c:v>44617</c:v>
                </c:pt>
                <c:pt idx="267">
                  <c:v>44620</c:v>
                </c:pt>
                <c:pt idx="268">
                  <c:v>44622</c:v>
                </c:pt>
                <c:pt idx="269">
                  <c:v>44623</c:v>
                </c:pt>
                <c:pt idx="270">
                  <c:v>44624</c:v>
                </c:pt>
                <c:pt idx="271">
                  <c:v>44627</c:v>
                </c:pt>
                <c:pt idx="272">
                  <c:v>44628</c:v>
                </c:pt>
                <c:pt idx="273">
                  <c:v>44629</c:v>
                </c:pt>
                <c:pt idx="274">
                  <c:v>44630</c:v>
                </c:pt>
                <c:pt idx="275">
                  <c:v>44631</c:v>
                </c:pt>
                <c:pt idx="276">
                  <c:v>44634</c:v>
                </c:pt>
                <c:pt idx="277">
                  <c:v>44635</c:v>
                </c:pt>
                <c:pt idx="278">
                  <c:v>44636</c:v>
                </c:pt>
                <c:pt idx="279">
                  <c:v>44637</c:v>
                </c:pt>
                <c:pt idx="280">
                  <c:v>44641</c:v>
                </c:pt>
                <c:pt idx="281">
                  <c:v>44642</c:v>
                </c:pt>
                <c:pt idx="282">
                  <c:v>44643</c:v>
                </c:pt>
                <c:pt idx="283">
                  <c:v>44644</c:v>
                </c:pt>
                <c:pt idx="284">
                  <c:v>44645</c:v>
                </c:pt>
                <c:pt idx="285">
                  <c:v>44648</c:v>
                </c:pt>
                <c:pt idx="286">
                  <c:v>44649</c:v>
                </c:pt>
                <c:pt idx="287">
                  <c:v>44650</c:v>
                </c:pt>
                <c:pt idx="288">
                  <c:v>44651</c:v>
                </c:pt>
                <c:pt idx="289">
                  <c:v>44652</c:v>
                </c:pt>
                <c:pt idx="290">
                  <c:v>44655</c:v>
                </c:pt>
                <c:pt idx="291">
                  <c:v>44656</c:v>
                </c:pt>
                <c:pt idx="292">
                  <c:v>44657</c:v>
                </c:pt>
                <c:pt idx="293">
                  <c:v>44658</c:v>
                </c:pt>
                <c:pt idx="294">
                  <c:v>44659</c:v>
                </c:pt>
                <c:pt idx="295">
                  <c:v>44662</c:v>
                </c:pt>
                <c:pt idx="296">
                  <c:v>44663</c:v>
                </c:pt>
                <c:pt idx="297">
                  <c:v>44664</c:v>
                </c:pt>
                <c:pt idx="298">
                  <c:v>44669</c:v>
                </c:pt>
                <c:pt idx="299">
                  <c:v>44670</c:v>
                </c:pt>
                <c:pt idx="300">
                  <c:v>44671</c:v>
                </c:pt>
                <c:pt idx="301">
                  <c:v>44672</c:v>
                </c:pt>
                <c:pt idx="302">
                  <c:v>44673</c:v>
                </c:pt>
                <c:pt idx="303">
                  <c:v>44676</c:v>
                </c:pt>
                <c:pt idx="304">
                  <c:v>44677</c:v>
                </c:pt>
                <c:pt idx="305">
                  <c:v>44678</c:v>
                </c:pt>
                <c:pt idx="306">
                  <c:v>44679</c:v>
                </c:pt>
                <c:pt idx="307">
                  <c:v>44680</c:v>
                </c:pt>
                <c:pt idx="308">
                  <c:v>44683</c:v>
                </c:pt>
                <c:pt idx="309">
                  <c:v>44685</c:v>
                </c:pt>
                <c:pt idx="310">
                  <c:v>44686</c:v>
                </c:pt>
                <c:pt idx="311">
                  <c:v>44687</c:v>
                </c:pt>
                <c:pt idx="312">
                  <c:v>44690</c:v>
                </c:pt>
                <c:pt idx="313">
                  <c:v>44691</c:v>
                </c:pt>
                <c:pt idx="314">
                  <c:v>44692</c:v>
                </c:pt>
                <c:pt idx="315">
                  <c:v>44693</c:v>
                </c:pt>
                <c:pt idx="316">
                  <c:v>44694</c:v>
                </c:pt>
                <c:pt idx="317">
                  <c:v>44697</c:v>
                </c:pt>
                <c:pt idx="318">
                  <c:v>44698</c:v>
                </c:pt>
                <c:pt idx="319">
                  <c:v>44699</c:v>
                </c:pt>
                <c:pt idx="320">
                  <c:v>44700</c:v>
                </c:pt>
                <c:pt idx="321">
                  <c:v>44701</c:v>
                </c:pt>
                <c:pt idx="322">
                  <c:v>44704</c:v>
                </c:pt>
                <c:pt idx="323">
                  <c:v>44705</c:v>
                </c:pt>
                <c:pt idx="324">
                  <c:v>44706</c:v>
                </c:pt>
                <c:pt idx="325">
                  <c:v>44707</c:v>
                </c:pt>
                <c:pt idx="326">
                  <c:v>44708</c:v>
                </c:pt>
                <c:pt idx="327">
                  <c:v>44711</c:v>
                </c:pt>
                <c:pt idx="328">
                  <c:v>44712</c:v>
                </c:pt>
                <c:pt idx="329">
                  <c:v>44713</c:v>
                </c:pt>
                <c:pt idx="330">
                  <c:v>44714</c:v>
                </c:pt>
                <c:pt idx="331">
                  <c:v>44715</c:v>
                </c:pt>
                <c:pt idx="332">
                  <c:v>44718</c:v>
                </c:pt>
                <c:pt idx="333">
                  <c:v>44719</c:v>
                </c:pt>
                <c:pt idx="334">
                  <c:v>44720</c:v>
                </c:pt>
                <c:pt idx="335">
                  <c:v>44721</c:v>
                </c:pt>
                <c:pt idx="336">
                  <c:v>44722</c:v>
                </c:pt>
                <c:pt idx="337">
                  <c:v>44725</c:v>
                </c:pt>
                <c:pt idx="338">
                  <c:v>44726</c:v>
                </c:pt>
                <c:pt idx="339">
                  <c:v>44727</c:v>
                </c:pt>
                <c:pt idx="340">
                  <c:v>44728</c:v>
                </c:pt>
                <c:pt idx="341">
                  <c:v>44729</c:v>
                </c:pt>
                <c:pt idx="342">
                  <c:v>44732</c:v>
                </c:pt>
                <c:pt idx="343">
                  <c:v>44733</c:v>
                </c:pt>
                <c:pt idx="344">
                  <c:v>44734</c:v>
                </c:pt>
                <c:pt idx="345">
                  <c:v>44735</c:v>
                </c:pt>
                <c:pt idx="346">
                  <c:v>44736</c:v>
                </c:pt>
                <c:pt idx="347">
                  <c:v>44739</c:v>
                </c:pt>
                <c:pt idx="348">
                  <c:v>44740</c:v>
                </c:pt>
                <c:pt idx="349">
                  <c:v>44741</c:v>
                </c:pt>
                <c:pt idx="350">
                  <c:v>44742</c:v>
                </c:pt>
                <c:pt idx="351">
                  <c:v>44743</c:v>
                </c:pt>
                <c:pt idx="352">
                  <c:v>44746</c:v>
                </c:pt>
                <c:pt idx="353">
                  <c:v>44747</c:v>
                </c:pt>
                <c:pt idx="354">
                  <c:v>44748</c:v>
                </c:pt>
                <c:pt idx="355">
                  <c:v>44749</c:v>
                </c:pt>
                <c:pt idx="356">
                  <c:v>44750</c:v>
                </c:pt>
                <c:pt idx="357">
                  <c:v>44753</c:v>
                </c:pt>
                <c:pt idx="358">
                  <c:v>44754</c:v>
                </c:pt>
                <c:pt idx="359">
                  <c:v>44755</c:v>
                </c:pt>
                <c:pt idx="360">
                  <c:v>44756</c:v>
                </c:pt>
                <c:pt idx="361">
                  <c:v>44757</c:v>
                </c:pt>
                <c:pt idx="362">
                  <c:v>44760</c:v>
                </c:pt>
                <c:pt idx="363">
                  <c:v>44761</c:v>
                </c:pt>
                <c:pt idx="364">
                  <c:v>44762</c:v>
                </c:pt>
                <c:pt idx="365">
                  <c:v>44763</c:v>
                </c:pt>
                <c:pt idx="366">
                  <c:v>44764</c:v>
                </c:pt>
                <c:pt idx="367">
                  <c:v>44767</c:v>
                </c:pt>
                <c:pt idx="368">
                  <c:v>44768</c:v>
                </c:pt>
                <c:pt idx="369">
                  <c:v>44769</c:v>
                </c:pt>
                <c:pt idx="370">
                  <c:v>44770</c:v>
                </c:pt>
                <c:pt idx="371">
                  <c:v>44771</c:v>
                </c:pt>
                <c:pt idx="372">
                  <c:v>44774</c:v>
                </c:pt>
                <c:pt idx="373">
                  <c:v>44775</c:v>
                </c:pt>
                <c:pt idx="374">
                  <c:v>44776</c:v>
                </c:pt>
                <c:pt idx="375">
                  <c:v>44777</c:v>
                </c:pt>
                <c:pt idx="376">
                  <c:v>44778</c:v>
                </c:pt>
                <c:pt idx="377">
                  <c:v>44781</c:v>
                </c:pt>
                <c:pt idx="378">
                  <c:v>44783</c:v>
                </c:pt>
                <c:pt idx="379">
                  <c:v>44784</c:v>
                </c:pt>
                <c:pt idx="380">
                  <c:v>44785</c:v>
                </c:pt>
                <c:pt idx="381">
                  <c:v>44789</c:v>
                </c:pt>
                <c:pt idx="382">
                  <c:v>44790</c:v>
                </c:pt>
                <c:pt idx="383">
                  <c:v>44791</c:v>
                </c:pt>
                <c:pt idx="384">
                  <c:v>44792</c:v>
                </c:pt>
                <c:pt idx="385">
                  <c:v>44795</c:v>
                </c:pt>
                <c:pt idx="386">
                  <c:v>44796</c:v>
                </c:pt>
                <c:pt idx="387">
                  <c:v>44797</c:v>
                </c:pt>
                <c:pt idx="388">
                  <c:v>44798</c:v>
                </c:pt>
                <c:pt idx="389">
                  <c:v>44799</c:v>
                </c:pt>
                <c:pt idx="390">
                  <c:v>44802</c:v>
                </c:pt>
                <c:pt idx="391">
                  <c:v>44803</c:v>
                </c:pt>
                <c:pt idx="392">
                  <c:v>44805</c:v>
                </c:pt>
                <c:pt idx="393">
                  <c:v>44806</c:v>
                </c:pt>
                <c:pt idx="394">
                  <c:v>44809</c:v>
                </c:pt>
                <c:pt idx="395">
                  <c:v>44810</c:v>
                </c:pt>
                <c:pt idx="396">
                  <c:v>44811</c:v>
                </c:pt>
                <c:pt idx="397">
                  <c:v>44812</c:v>
                </c:pt>
                <c:pt idx="398">
                  <c:v>44813</c:v>
                </c:pt>
                <c:pt idx="399">
                  <c:v>44816</c:v>
                </c:pt>
                <c:pt idx="400">
                  <c:v>44817</c:v>
                </c:pt>
                <c:pt idx="401">
                  <c:v>44818</c:v>
                </c:pt>
                <c:pt idx="402">
                  <c:v>44819</c:v>
                </c:pt>
                <c:pt idx="403">
                  <c:v>44820</c:v>
                </c:pt>
                <c:pt idx="404">
                  <c:v>44823</c:v>
                </c:pt>
                <c:pt idx="405">
                  <c:v>44824</c:v>
                </c:pt>
                <c:pt idx="406">
                  <c:v>44825</c:v>
                </c:pt>
                <c:pt idx="407">
                  <c:v>44826</c:v>
                </c:pt>
                <c:pt idx="408">
                  <c:v>44827</c:v>
                </c:pt>
                <c:pt idx="409">
                  <c:v>44830</c:v>
                </c:pt>
                <c:pt idx="410">
                  <c:v>44831</c:v>
                </c:pt>
                <c:pt idx="411">
                  <c:v>44832</c:v>
                </c:pt>
                <c:pt idx="412">
                  <c:v>44833</c:v>
                </c:pt>
                <c:pt idx="413">
                  <c:v>44834</c:v>
                </c:pt>
                <c:pt idx="414">
                  <c:v>44837</c:v>
                </c:pt>
                <c:pt idx="415">
                  <c:v>44838</c:v>
                </c:pt>
                <c:pt idx="416">
                  <c:v>44840</c:v>
                </c:pt>
                <c:pt idx="417">
                  <c:v>44841</c:v>
                </c:pt>
                <c:pt idx="418">
                  <c:v>44844</c:v>
                </c:pt>
                <c:pt idx="419">
                  <c:v>44845</c:v>
                </c:pt>
                <c:pt idx="420">
                  <c:v>44846</c:v>
                </c:pt>
                <c:pt idx="421">
                  <c:v>44847</c:v>
                </c:pt>
                <c:pt idx="422">
                  <c:v>44848</c:v>
                </c:pt>
                <c:pt idx="423">
                  <c:v>44851</c:v>
                </c:pt>
                <c:pt idx="424">
                  <c:v>44852</c:v>
                </c:pt>
                <c:pt idx="425">
                  <c:v>44853</c:v>
                </c:pt>
                <c:pt idx="426">
                  <c:v>44854</c:v>
                </c:pt>
                <c:pt idx="427">
                  <c:v>44855</c:v>
                </c:pt>
                <c:pt idx="428">
                  <c:v>44859</c:v>
                </c:pt>
                <c:pt idx="429">
                  <c:v>44861</c:v>
                </c:pt>
                <c:pt idx="430">
                  <c:v>44862</c:v>
                </c:pt>
                <c:pt idx="431">
                  <c:v>44865</c:v>
                </c:pt>
                <c:pt idx="432">
                  <c:v>44866</c:v>
                </c:pt>
                <c:pt idx="433">
                  <c:v>44867</c:v>
                </c:pt>
                <c:pt idx="434">
                  <c:v>44868</c:v>
                </c:pt>
                <c:pt idx="435">
                  <c:v>44869</c:v>
                </c:pt>
                <c:pt idx="436">
                  <c:v>44872</c:v>
                </c:pt>
                <c:pt idx="437">
                  <c:v>44874</c:v>
                </c:pt>
                <c:pt idx="438">
                  <c:v>44875</c:v>
                </c:pt>
                <c:pt idx="439">
                  <c:v>44876</c:v>
                </c:pt>
                <c:pt idx="440">
                  <c:v>44879</c:v>
                </c:pt>
                <c:pt idx="441">
                  <c:v>44880</c:v>
                </c:pt>
                <c:pt idx="442">
                  <c:v>44881</c:v>
                </c:pt>
                <c:pt idx="443">
                  <c:v>44882</c:v>
                </c:pt>
                <c:pt idx="444">
                  <c:v>44883</c:v>
                </c:pt>
                <c:pt idx="445">
                  <c:v>44886</c:v>
                </c:pt>
                <c:pt idx="446">
                  <c:v>44887</c:v>
                </c:pt>
                <c:pt idx="447">
                  <c:v>44888</c:v>
                </c:pt>
                <c:pt idx="448">
                  <c:v>44889</c:v>
                </c:pt>
                <c:pt idx="449">
                  <c:v>44890</c:v>
                </c:pt>
                <c:pt idx="450">
                  <c:v>44893</c:v>
                </c:pt>
                <c:pt idx="451">
                  <c:v>44894</c:v>
                </c:pt>
                <c:pt idx="452">
                  <c:v>44895</c:v>
                </c:pt>
                <c:pt idx="453">
                  <c:v>44896</c:v>
                </c:pt>
                <c:pt idx="454">
                  <c:v>44897</c:v>
                </c:pt>
                <c:pt idx="455">
                  <c:v>44900</c:v>
                </c:pt>
                <c:pt idx="456">
                  <c:v>44901</c:v>
                </c:pt>
                <c:pt idx="457">
                  <c:v>44902</c:v>
                </c:pt>
                <c:pt idx="458">
                  <c:v>44903</c:v>
                </c:pt>
                <c:pt idx="459">
                  <c:v>44904</c:v>
                </c:pt>
                <c:pt idx="460">
                  <c:v>44907</c:v>
                </c:pt>
                <c:pt idx="461">
                  <c:v>44908</c:v>
                </c:pt>
                <c:pt idx="462">
                  <c:v>44909</c:v>
                </c:pt>
                <c:pt idx="463">
                  <c:v>44910</c:v>
                </c:pt>
                <c:pt idx="464">
                  <c:v>44911</c:v>
                </c:pt>
                <c:pt idx="465">
                  <c:v>44914</c:v>
                </c:pt>
                <c:pt idx="466">
                  <c:v>44915</c:v>
                </c:pt>
                <c:pt idx="467">
                  <c:v>44916</c:v>
                </c:pt>
                <c:pt idx="468">
                  <c:v>44917</c:v>
                </c:pt>
                <c:pt idx="469">
                  <c:v>44918</c:v>
                </c:pt>
                <c:pt idx="470">
                  <c:v>44921</c:v>
                </c:pt>
                <c:pt idx="471">
                  <c:v>44922</c:v>
                </c:pt>
                <c:pt idx="472">
                  <c:v>44923</c:v>
                </c:pt>
                <c:pt idx="473">
                  <c:v>44924</c:v>
                </c:pt>
                <c:pt idx="474">
                  <c:v>44925</c:v>
                </c:pt>
                <c:pt idx="475">
                  <c:v>44928</c:v>
                </c:pt>
                <c:pt idx="476">
                  <c:v>44929</c:v>
                </c:pt>
                <c:pt idx="477">
                  <c:v>44930</c:v>
                </c:pt>
                <c:pt idx="478">
                  <c:v>44931</c:v>
                </c:pt>
                <c:pt idx="479">
                  <c:v>44932</c:v>
                </c:pt>
                <c:pt idx="480">
                  <c:v>44935</c:v>
                </c:pt>
                <c:pt idx="481">
                  <c:v>44936</c:v>
                </c:pt>
                <c:pt idx="482">
                  <c:v>44937</c:v>
                </c:pt>
                <c:pt idx="483">
                  <c:v>44938</c:v>
                </c:pt>
                <c:pt idx="484">
                  <c:v>44939</c:v>
                </c:pt>
                <c:pt idx="485">
                  <c:v>44942</c:v>
                </c:pt>
                <c:pt idx="486">
                  <c:v>44943</c:v>
                </c:pt>
                <c:pt idx="487">
                  <c:v>44944</c:v>
                </c:pt>
                <c:pt idx="488">
                  <c:v>44945</c:v>
                </c:pt>
                <c:pt idx="489">
                  <c:v>44946</c:v>
                </c:pt>
                <c:pt idx="490">
                  <c:v>44949</c:v>
                </c:pt>
                <c:pt idx="491">
                  <c:v>44950</c:v>
                </c:pt>
                <c:pt idx="492">
                  <c:v>44951</c:v>
                </c:pt>
                <c:pt idx="493">
                  <c:v>44953</c:v>
                </c:pt>
                <c:pt idx="494">
                  <c:v>44956</c:v>
                </c:pt>
                <c:pt idx="495">
                  <c:v>44957</c:v>
                </c:pt>
                <c:pt idx="496">
                  <c:v>44958</c:v>
                </c:pt>
                <c:pt idx="497">
                  <c:v>44959</c:v>
                </c:pt>
                <c:pt idx="498">
                  <c:v>44960</c:v>
                </c:pt>
                <c:pt idx="499">
                  <c:v>44963</c:v>
                </c:pt>
                <c:pt idx="500">
                  <c:v>44964</c:v>
                </c:pt>
                <c:pt idx="501">
                  <c:v>44965</c:v>
                </c:pt>
                <c:pt idx="502">
                  <c:v>44966</c:v>
                </c:pt>
                <c:pt idx="503">
                  <c:v>44967</c:v>
                </c:pt>
                <c:pt idx="504">
                  <c:v>44970</c:v>
                </c:pt>
                <c:pt idx="505">
                  <c:v>44971</c:v>
                </c:pt>
                <c:pt idx="506">
                  <c:v>44972</c:v>
                </c:pt>
                <c:pt idx="507">
                  <c:v>44973</c:v>
                </c:pt>
                <c:pt idx="508">
                  <c:v>44974</c:v>
                </c:pt>
                <c:pt idx="509">
                  <c:v>44977</c:v>
                </c:pt>
                <c:pt idx="510">
                  <c:v>44978</c:v>
                </c:pt>
                <c:pt idx="511">
                  <c:v>44979</c:v>
                </c:pt>
                <c:pt idx="512">
                  <c:v>44980</c:v>
                </c:pt>
                <c:pt idx="513">
                  <c:v>44981</c:v>
                </c:pt>
                <c:pt idx="514">
                  <c:v>44984</c:v>
                </c:pt>
                <c:pt idx="515">
                  <c:v>44985</c:v>
                </c:pt>
                <c:pt idx="516">
                  <c:v>44986</c:v>
                </c:pt>
                <c:pt idx="517">
                  <c:v>44987</c:v>
                </c:pt>
                <c:pt idx="518">
                  <c:v>44988</c:v>
                </c:pt>
                <c:pt idx="519">
                  <c:v>44991</c:v>
                </c:pt>
                <c:pt idx="520">
                  <c:v>44993</c:v>
                </c:pt>
                <c:pt idx="521">
                  <c:v>44994</c:v>
                </c:pt>
                <c:pt idx="522">
                  <c:v>44995</c:v>
                </c:pt>
                <c:pt idx="523">
                  <c:v>44998</c:v>
                </c:pt>
                <c:pt idx="524">
                  <c:v>44999</c:v>
                </c:pt>
                <c:pt idx="525">
                  <c:v>45000</c:v>
                </c:pt>
                <c:pt idx="526">
                  <c:v>45001</c:v>
                </c:pt>
                <c:pt idx="527">
                  <c:v>45002</c:v>
                </c:pt>
                <c:pt idx="528">
                  <c:v>45005</c:v>
                </c:pt>
                <c:pt idx="529">
                  <c:v>45006</c:v>
                </c:pt>
                <c:pt idx="530">
                  <c:v>45007</c:v>
                </c:pt>
                <c:pt idx="531">
                  <c:v>45008</c:v>
                </c:pt>
                <c:pt idx="532">
                  <c:v>45009</c:v>
                </c:pt>
                <c:pt idx="533">
                  <c:v>45012</c:v>
                </c:pt>
                <c:pt idx="534">
                  <c:v>45013</c:v>
                </c:pt>
                <c:pt idx="535">
                  <c:v>45014</c:v>
                </c:pt>
                <c:pt idx="536">
                  <c:v>45016</c:v>
                </c:pt>
                <c:pt idx="537">
                  <c:v>45019</c:v>
                </c:pt>
                <c:pt idx="538">
                  <c:v>45021</c:v>
                </c:pt>
                <c:pt idx="539">
                  <c:v>45022</c:v>
                </c:pt>
                <c:pt idx="540">
                  <c:v>45026</c:v>
                </c:pt>
                <c:pt idx="541">
                  <c:v>45027</c:v>
                </c:pt>
                <c:pt idx="542">
                  <c:v>45028</c:v>
                </c:pt>
                <c:pt idx="543">
                  <c:v>45029</c:v>
                </c:pt>
                <c:pt idx="544">
                  <c:v>45033</c:v>
                </c:pt>
                <c:pt idx="545">
                  <c:v>45034</c:v>
                </c:pt>
                <c:pt idx="546">
                  <c:v>45035</c:v>
                </c:pt>
                <c:pt idx="547">
                  <c:v>45036</c:v>
                </c:pt>
                <c:pt idx="548">
                  <c:v>45037</c:v>
                </c:pt>
                <c:pt idx="549">
                  <c:v>45040</c:v>
                </c:pt>
                <c:pt idx="550">
                  <c:v>45041</c:v>
                </c:pt>
                <c:pt idx="551">
                  <c:v>45042</c:v>
                </c:pt>
                <c:pt idx="552">
                  <c:v>45043</c:v>
                </c:pt>
                <c:pt idx="553">
                  <c:v>45044</c:v>
                </c:pt>
                <c:pt idx="554">
                  <c:v>45048</c:v>
                </c:pt>
                <c:pt idx="555">
                  <c:v>45049</c:v>
                </c:pt>
                <c:pt idx="556">
                  <c:v>45050</c:v>
                </c:pt>
                <c:pt idx="557">
                  <c:v>45051</c:v>
                </c:pt>
                <c:pt idx="558">
                  <c:v>45054</c:v>
                </c:pt>
                <c:pt idx="559">
                  <c:v>45055</c:v>
                </c:pt>
                <c:pt idx="560">
                  <c:v>45056</c:v>
                </c:pt>
                <c:pt idx="561">
                  <c:v>45057</c:v>
                </c:pt>
                <c:pt idx="562">
                  <c:v>45058</c:v>
                </c:pt>
                <c:pt idx="563">
                  <c:v>45061</c:v>
                </c:pt>
                <c:pt idx="564">
                  <c:v>45062</c:v>
                </c:pt>
                <c:pt idx="565">
                  <c:v>45063</c:v>
                </c:pt>
                <c:pt idx="566">
                  <c:v>45064</c:v>
                </c:pt>
                <c:pt idx="567">
                  <c:v>45065</c:v>
                </c:pt>
                <c:pt idx="568">
                  <c:v>45068</c:v>
                </c:pt>
                <c:pt idx="569">
                  <c:v>45069</c:v>
                </c:pt>
                <c:pt idx="570">
                  <c:v>45070</c:v>
                </c:pt>
                <c:pt idx="571">
                  <c:v>45071</c:v>
                </c:pt>
                <c:pt idx="572">
                  <c:v>45072</c:v>
                </c:pt>
                <c:pt idx="573">
                  <c:v>45075</c:v>
                </c:pt>
                <c:pt idx="574">
                  <c:v>45076</c:v>
                </c:pt>
                <c:pt idx="575">
                  <c:v>45077</c:v>
                </c:pt>
                <c:pt idx="576">
                  <c:v>45078</c:v>
                </c:pt>
                <c:pt idx="577">
                  <c:v>45079</c:v>
                </c:pt>
                <c:pt idx="578">
                  <c:v>45082</c:v>
                </c:pt>
                <c:pt idx="579">
                  <c:v>45083</c:v>
                </c:pt>
                <c:pt idx="580">
                  <c:v>45084</c:v>
                </c:pt>
                <c:pt idx="581">
                  <c:v>45085</c:v>
                </c:pt>
                <c:pt idx="582">
                  <c:v>45086</c:v>
                </c:pt>
                <c:pt idx="583">
                  <c:v>45089</c:v>
                </c:pt>
                <c:pt idx="584">
                  <c:v>45090</c:v>
                </c:pt>
                <c:pt idx="585">
                  <c:v>45091</c:v>
                </c:pt>
                <c:pt idx="586">
                  <c:v>45092</c:v>
                </c:pt>
                <c:pt idx="587">
                  <c:v>45093</c:v>
                </c:pt>
                <c:pt idx="588">
                  <c:v>45096</c:v>
                </c:pt>
                <c:pt idx="589">
                  <c:v>45097</c:v>
                </c:pt>
                <c:pt idx="590">
                  <c:v>45098</c:v>
                </c:pt>
                <c:pt idx="591">
                  <c:v>45099</c:v>
                </c:pt>
                <c:pt idx="592">
                  <c:v>45100</c:v>
                </c:pt>
                <c:pt idx="593">
                  <c:v>45103</c:v>
                </c:pt>
                <c:pt idx="594">
                  <c:v>45104</c:v>
                </c:pt>
                <c:pt idx="595">
                  <c:v>45105</c:v>
                </c:pt>
                <c:pt idx="596">
                  <c:v>45107</c:v>
                </c:pt>
                <c:pt idx="597">
                  <c:v>45110</c:v>
                </c:pt>
                <c:pt idx="598">
                  <c:v>45111</c:v>
                </c:pt>
                <c:pt idx="599">
                  <c:v>45112</c:v>
                </c:pt>
                <c:pt idx="600">
                  <c:v>45113</c:v>
                </c:pt>
                <c:pt idx="601">
                  <c:v>45114</c:v>
                </c:pt>
                <c:pt idx="602">
                  <c:v>45117</c:v>
                </c:pt>
                <c:pt idx="603">
                  <c:v>45118</c:v>
                </c:pt>
                <c:pt idx="604">
                  <c:v>45119</c:v>
                </c:pt>
                <c:pt idx="605">
                  <c:v>45120</c:v>
                </c:pt>
                <c:pt idx="606">
                  <c:v>45121</c:v>
                </c:pt>
                <c:pt idx="607">
                  <c:v>45124</c:v>
                </c:pt>
                <c:pt idx="608">
                  <c:v>45125</c:v>
                </c:pt>
                <c:pt idx="609">
                  <c:v>45126</c:v>
                </c:pt>
                <c:pt idx="610">
                  <c:v>45127</c:v>
                </c:pt>
                <c:pt idx="611">
                  <c:v>45128</c:v>
                </c:pt>
                <c:pt idx="612">
                  <c:v>45131</c:v>
                </c:pt>
                <c:pt idx="613">
                  <c:v>45132</c:v>
                </c:pt>
                <c:pt idx="614">
                  <c:v>45133</c:v>
                </c:pt>
                <c:pt idx="615">
                  <c:v>45134</c:v>
                </c:pt>
                <c:pt idx="616">
                  <c:v>45135</c:v>
                </c:pt>
                <c:pt idx="617">
                  <c:v>45138</c:v>
                </c:pt>
                <c:pt idx="618">
                  <c:v>45139</c:v>
                </c:pt>
                <c:pt idx="619">
                  <c:v>45140</c:v>
                </c:pt>
                <c:pt idx="620">
                  <c:v>45141</c:v>
                </c:pt>
                <c:pt idx="621">
                  <c:v>45142</c:v>
                </c:pt>
                <c:pt idx="622">
                  <c:v>45145</c:v>
                </c:pt>
                <c:pt idx="623">
                  <c:v>45146</c:v>
                </c:pt>
                <c:pt idx="624">
                  <c:v>45147</c:v>
                </c:pt>
                <c:pt idx="625">
                  <c:v>45148</c:v>
                </c:pt>
                <c:pt idx="626">
                  <c:v>45149</c:v>
                </c:pt>
                <c:pt idx="627">
                  <c:v>45152</c:v>
                </c:pt>
                <c:pt idx="628">
                  <c:v>45154</c:v>
                </c:pt>
                <c:pt idx="629">
                  <c:v>45155</c:v>
                </c:pt>
                <c:pt idx="630">
                  <c:v>45156</c:v>
                </c:pt>
                <c:pt idx="631">
                  <c:v>45159</c:v>
                </c:pt>
                <c:pt idx="632">
                  <c:v>45160</c:v>
                </c:pt>
                <c:pt idx="633">
                  <c:v>45161</c:v>
                </c:pt>
                <c:pt idx="634">
                  <c:v>45162</c:v>
                </c:pt>
                <c:pt idx="635">
                  <c:v>45163</c:v>
                </c:pt>
                <c:pt idx="636">
                  <c:v>45166</c:v>
                </c:pt>
                <c:pt idx="637">
                  <c:v>45167</c:v>
                </c:pt>
                <c:pt idx="638">
                  <c:v>45168</c:v>
                </c:pt>
                <c:pt idx="639">
                  <c:v>45169</c:v>
                </c:pt>
                <c:pt idx="640">
                  <c:v>45170</c:v>
                </c:pt>
                <c:pt idx="641">
                  <c:v>45173</c:v>
                </c:pt>
                <c:pt idx="642">
                  <c:v>45174</c:v>
                </c:pt>
                <c:pt idx="643">
                  <c:v>45175</c:v>
                </c:pt>
                <c:pt idx="644">
                  <c:v>45176</c:v>
                </c:pt>
                <c:pt idx="645">
                  <c:v>45177</c:v>
                </c:pt>
                <c:pt idx="646">
                  <c:v>45180</c:v>
                </c:pt>
                <c:pt idx="647">
                  <c:v>45181</c:v>
                </c:pt>
                <c:pt idx="648">
                  <c:v>45182</c:v>
                </c:pt>
                <c:pt idx="649">
                  <c:v>45183</c:v>
                </c:pt>
                <c:pt idx="650">
                  <c:v>45184</c:v>
                </c:pt>
                <c:pt idx="651">
                  <c:v>45187</c:v>
                </c:pt>
                <c:pt idx="652">
                  <c:v>45189</c:v>
                </c:pt>
                <c:pt idx="653">
                  <c:v>45190</c:v>
                </c:pt>
                <c:pt idx="654">
                  <c:v>45191</c:v>
                </c:pt>
                <c:pt idx="655">
                  <c:v>45194</c:v>
                </c:pt>
                <c:pt idx="656">
                  <c:v>45195</c:v>
                </c:pt>
                <c:pt idx="657">
                  <c:v>45196</c:v>
                </c:pt>
                <c:pt idx="658">
                  <c:v>45197</c:v>
                </c:pt>
                <c:pt idx="659">
                  <c:v>45198</c:v>
                </c:pt>
                <c:pt idx="660">
                  <c:v>45202</c:v>
                </c:pt>
                <c:pt idx="661">
                  <c:v>45203</c:v>
                </c:pt>
                <c:pt idx="662">
                  <c:v>45204</c:v>
                </c:pt>
                <c:pt idx="663">
                  <c:v>45205</c:v>
                </c:pt>
                <c:pt idx="664">
                  <c:v>45208</c:v>
                </c:pt>
                <c:pt idx="665">
                  <c:v>45209</c:v>
                </c:pt>
                <c:pt idx="666">
                  <c:v>45210</c:v>
                </c:pt>
                <c:pt idx="667">
                  <c:v>45211</c:v>
                </c:pt>
                <c:pt idx="668">
                  <c:v>45212</c:v>
                </c:pt>
                <c:pt idx="669">
                  <c:v>45215</c:v>
                </c:pt>
                <c:pt idx="670">
                  <c:v>45216</c:v>
                </c:pt>
                <c:pt idx="671">
                  <c:v>45217</c:v>
                </c:pt>
                <c:pt idx="672">
                  <c:v>45218</c:v>
                </c:pt>
                <c:pt idx="673">
                  <c:v>45219</c:v>
                </c:pt>
                <c:pt idx="674">
                  <c:v>45222</c:v>
                </c:pt>
                <c:pt idx="675">
                  <c:v>45224</c:v>
                </c:pt>
                <c:pt idx="676">
                  <c:v>45225</c:v>
                </c:pt>
                <c:pt idx="677">
                  <c:v>45226</c:v>
                </c:pt>
                <c:pt idx="678">
                  <c:v>45229</c:v>
                </c:pt>
                <c:pt idx="679">
                  <c:v>45230</c:v>
                </c:pt>
                <c:pt idx="680">
                  <c:v>45231</c:v>
                </c:pt>
                <c:pt idx="681">
                  <c:v>45232</c:v>
                </c:pt>
                <c:pt idx="682">
                  <c:v>45233</c:v>
                </c:pt>
                <c:pt idx="683">
                  <c:v>45236</c:v>
                </c:pt>
                <c:pt idx="684">
                  <c:v>45237</c:v>
                </c:pt>
                <c:pt idx="685">
                  <c:v>45238</c:v>
                </c:pt>
                <c:pt idx="686">
                  <c:v>45239</c:v>
                </c:pt>
                <c:pt idx="687">
                  <c:v>45240</c:v>
                </c:pt>
                <c:pt idx="688">
                  <c:v>45243</c:v>
                </c:pt>
                <c:pt idx="689">
                  <c:v>45245</c:v>
                </c:pt>
                <c:pt idx="690">
                  <c:v>45246</c:v>
                </c:pt>
                <c:pt idx="691">
                  <c:v>45247</c:v>
                </c:pt>
                <c:pt idx="692">
                  <c:v>45250</c:v>
                </c:pt>
                <c:pt idx="693">
                  <c:v>45251</c:v>
                </c:pt>
                <c:pt idx="694">
                  <c:v>45252</c:v>
                </c:pt>
                <c:pt idx="695">
                  <c:v>45253</c:v>
                </c:pt>
                <c:pt idx="696">
                  <c:v>45254</c:v>
                </c:pt>
                <c:pt idx="697">
                  <c:v>45258</c:v>
                </c:pt>
                <c:pt idx="698">
                  <c:v>45259</c:v>
                </c:pt>
                <c:pt idx="699">
                  <c:v>45260</c:v>
                </c:pt>
                <c:pt idx="700">
                  <c:v>45261</c:v>
                </c:pt>
                <c:pt idx="701">
                  <c:v>45264</c:v>
                </c:pt>
                <c:pt idx="702">
                  <c:v>45265</c:v>
                </c:pt>
                <c:pt idx="703">
                  <c:v>45266</c:v>
                </c:pt>
                <c:pt idx="704">
                  <c:v>45267</c:v>
                </c:pt>
                <c:pt idx="705">
                  <c:v>45268</c:v>
                </c:pt>
                <c:pt idx="706">
                  <c:v>45271</c:v>
                </c:pt>
                <c:pt idx="707">
                  <c:v>45272</c:v>
                </c:pt>
                <c:pt idx="708">
                  <c:v>45273</c:v>
                </c:pt>
                <c:pt idx="709">
                  <c:v>45274</c:v>
                </c:pt>
                <c:pt idx="710">
                  <c:v>45275</c:v>
                </c:pt>
                <c:pt idx="711">
                  <c:v>45278</c:v>
                </c:pt>
                <c:pt idx="712">
                  <c:v>45279</c:v>
                </c:pt>
                <c:pt idx="713">
                  <c:v>45280</c:v>
                </c:pt>
                <c:pt idx="714">
                  <c:v>45281</c:v>
                </c:pt>
                <c:pt idx="715">
                  <c:v>45282</c:v>
                </c:pt>
                <c:pt idx="716">
                  <c:v>45286</c:v>
                </c:pt>
                <c:pt idx="717">
                  <c:v>45287</c:v>
                </c:pt>
                <c:pt idx="718">
                  <c:v>45288</c:v>
                </c:pt>
                <c:pt idx="719">
                  <c:v>45289</c:v>
                </c:pt>
                <c:pt idx="720">
                  <c:v>45292</c:v>
                </c:pt>
                <c:pt idx="721">
                  <c:v>45293</c:v>
                </c:pt>
                <c:pt idx="722">
                  <c:v>45294</c:v>
                </c:pt>
                <c:pt idx="723">
                  <c:v>45295</c:v>
                </c:pt>
                <c:pt idx="724">
                  <c:v>45296</c:v>
                </c:pt>
                <c:pt idx="725">
                  <c:v>45299</c:v>
                </c:pt>
                <c:pt idx="726">
                  <c:v>45300</c:v>
                </c:pt>
                <c:pt idx="727">
                  <c:v>45301</c:v>
                </c:pt>
                <c:pt idx="728">
                  <c:v>45302</c:v>
                </c:pt>
                <c:pt idx="729">
                  <c:v>45303</c:v>
                </c:pt>
                <c:pt idx="730">
                  <c:v>45306</c:v>
                </c:pt>
                <c:pt idx="731">
                  <c:v>45307</c:v>
                </c:pt>
                <c:pt idx="732">
                  <c:v>45308</c:v>
                </c:pt>
                <c:pt idx="733">
                  <c:v>45309</c:v>
                </c:pt>
                <c:pt idx="734">
                  <c:v>45310</c:v>
                </c:pt>
                <c:pt idx="735">
                  <c:v>45314</c:v>
                </c:pt>
                <c:pt idx="736">
                  <c:v>45315</c:v>
                </c:pt>
                <c:pt idx="737">
                  <c:v>45316</c:v>
                </c:pt>
                <c:pt idx="738">
                  <c:v>45320</c:v>
                </c:pt>
                <c:pt idx="739">
                  <c:v>45321</c:v>
                </c:pt>
                <c:pt idx="740">
                  <c:v>45322</c:v>
                </c:pt>
                <c:pt idx="741">
                  <c:v>45323</c:v>
                </c:pt>
                <c:pt idx="742">
                  <c:v>45324</c:v>
                </c:pt>
                <c:pt idx="743">
                  <c:v>45327</c:v>
                </c:pt>
                <c:pt idx="744">
                  <c:v>45328</c:v>
                </c:pt>
                <c:pt idx="745">
                  <c:v>45329</c:v>
                </c:pt>
                <c:pt idx="746">
                  <c:v>45330</c:v>
                </c:pt>
                <c:pt idx="747">
                  <c:v>45331</c:v>
                </c:pt>
                <c:pt idx="748">
                  <c:v>45334</c:v>
                </c:pt>
                <c:pt idx="749">
                  <c:v>45335</c:v>
                </c:pt>
                <c:pt idx="750">
                  <c:v>45336</c:v>
                </c:pt>
                <c:pt idx="751">
                  <c:v>45337</c:v>
                </c:pt>
                <c:pt idx="752">
                  <c:v>45338</c:v>
                </c:pt>
                <c:pt idx="753">
                  <c:v>45341</c:v>
                </c:pt>
                <c:pt idx="754">
                  <c:v>45342</c:v>
                </c:pt>
                <c:pt idx="755">
                  <c:v>45343</c:v>
                </c:pt>
                <c:pt idx="756">
                  <c:v>45344</c:v>
                </c:pt>
                <c:pt idx="757">
                  <c:v>45345</c:v>
                </c:pt>
                <c:pt idx="758">
                  <c:v>45348</c:v>
                </c:pt>
                <c:pt idx="759">
                  <c:v>45349</c:v>
                </c:pt>
                <c:pt idx="760">
                  <c:v>45350</c:v>
                </c:pt>
                <c:pt idx="761">
                  <c:v>45351</c:v>
                </c:pt>
                <c:pt idx="762">
                  <c:v>45352</c:v>
                </c:pt>
                <c:pt idx="763">
                  <c:v>45355</c:v>
                </c:pt>
                <c:pt idx="764">
                  <c:v>45356</c:v>
                </c:pt>
                <c:pt idx="765">
                  <c:v>45357</c:v>
                </c:pt>
                <c:pt idx="766">
                  <c:v>45358</c:v>
                </c:pt>
                <c:pt idx="767">
                  <c:v>45362</c:v>
                </c:pt>
                <c:pt idx="768">
                  <c:v>45363</c:v>
                </c:pt>
                <c:pt idx="769">
                  <c:v>45364</c:v>
                </c:pt>
                <c:pt idx="770">
                  <c:v>45365</c:v>
                </c:pt>
                <c:pt idx="771">
                  <c:v>45366</c:v>
                </c:pt>
                <c:pt idx="772">
                  <c:v>45369</c:v>
                </c:pt>
                <c:pt idx="773">
                  <c:v>45370</c:v>
                </c:pt>
                <c:pt idx="774">
                  <c:v>45371</c:v>
                </c:pt>
                <c:pt idx="775">
                  <c:v>45372</c:v>
                </c:pt>
                <c:pt idx="776">
                  <c:v>45373</c:v>
                </c:pt>
                <c:pt idx="777">
                  <c:v>45377</c:v>
                </c:pt>
                <c:pt idx="778">
                  <c:v>45378</c:v>
                </c:pt>
                <c:pt idx="779">
                  <c:v>45379</c:v>
                </c:pt>
                <c:pt idx="780">
                  <c:v>45383</c:v>
                </c:pt>
                <c:pt idx="781">
                  <c:v>45384</c:v>
                </c:pt>
                <c:pt idx="782">
                  <c:v>45385</c:v>
                </c:pt>
                <c:pt idx="783">
                  <c:v>45386</c:v>
                </c:pt>
                <c:pt idx="784">
                  <c:v>45387</c:v>
                </c:pt>
                <c:pt idx="785">
                  <c:v>45390</c:v>
                </c:pt>
                <c:pt idx="786">
                  <c:v>45391</c:v>
                </c:pt>
                <c:pt idx="787">
                  <c:v>45392</c:v>
                </c:pt>
                <c:pt idx="788">
                  <c:v>45394</c:v>
                </c:pt>
                <c:pt idx="789">
                  <c:v>45397</c:v>
                </c:pt>
                <c:pt idx="790">
                  <c:v>45398</c:v>
                </c:pt>
                <c:pt idx="791">
                  <c:v>45400</c:v>
                </c:pt>
                <c:pt idx="792">
                  <c:v>45401</c:v>
                </c:pt>
                <c:pt idx="793">
                  <c:v>45404</c:v>
                </c:pt>
                <c:pt idx="794">
                  <c:v>45405</c:v>
                </c:pt>
                <c:pt idx="795">
                  <c:v>45406</c:v>
                </c:pt>
                <c:pt idx="796">
                  <c:v>45407</c:v>
                </c:pt>
                <c:pt idx="797">
                  <c:v>45408</c:v>
                </c:pt>
                <c:pt idx="798">
                  <c:v>45411</c:v>
                </c:pt>
                <c:pt idx="799">
                  <c:v>45412</c:v>
                </c:pt>
                <c:pt idx="800">
                  <c:v>45414</c:v>
                </c:pt>
                <c:pt idx="801">
                  <c:v>45415</c:v>
                </c:pt>
                <c:pt idx="802">
                  <c:v>45418</c:v>
                </c:pt>
                <c:pt idx="803">
                  <c:v>45419</c:v>
                </c:pt>
                <c:pt idx="804">
                  <c:v>45420</c:v>
                </c:pt>
                <c:pt idx="805">
                  <c:v>45421</c:v>
                </c:pt>
                <c:pt idx="806">
                  <c:v>45422</c:v>
                </c:pt>
                <c:pt idx="807">
                  <c:v>45425</c:v>
                </c:pt>
                <c:pt idx="808">
                  <c:v>45426</c:v>
                </c:pt>
                <c:pt idx="809">
                  <c:v>45427</c:v>
                </c:pt>
                <c:pt idx="810">
                  <c:v>45428</c:v>
                </c:pt>
                <c:pt idx="811">
                  <c:v>45429</c:v>
                </c:pt>
                <c:pt idx="812">
                  <c:v>45433</c:v>
                </c:pt>
                <c:pt idx="813">
                  <c:v>45434</c:v>
                </c:pt>
                <c:pt idx="814">
                  <c:v>45435</c:v>
                </c:pt>
                <c:pt idx="815">
                  <c:v>45436</c:v>
                </c:pt>
                <c:pt idx="816">
                  <c:v>45439</c:v>
                </c:pt>
                <c:pt idx="817">
                  <c:v>45440</c:v>
                </c:pt>
                <c:pt idx="818">
                  <c:v>45441</c:v>
                </c:pt>
                <c:pt idx="819">
                  <c:v>45442</c:v>
                </c:pt>
                <c:pt idx="820">
                  <c:v>45443</c:v>
                </c:pt>
                <c:pt idx="821">
                  <c:v>45446</c:v>
                </c:pt>
                <c:pt idx="822">
                  <c:v>45447</c:v>
                </c:pt>
                <c:pt idx="823">
                  <c:v>45448</c:v>
                </c:pt>
                <c:pt idx="824">
                  <c:v>45449</c:v>
                </c:pt>
                <c:pt idx="825">
                  <c:v>45450</c:v>
                </c:pt>
                <c:pt idx="826">
                  <c:v>45453</c:v>
                </c:pt>
                <c:pt idx="827">
                  <c:v>45454</c:v>
                </c:pt>
                <c:pt idx="828">
                  <c:v>45455</c:v>
                </c:pt>
                <c:pt idx="829">
                  <c:v>45456</c:v>
                </c:pt>
                <c:pt idx="830">
                  <c:v>45457</c:v>
                </c:pt>
                <c:pt idx="831">
                  <c:v>45461</c:v>
                </c:pt>
                <c:pt idx="832">
                  <c:v>45462</c:v>
                </c:pt>
                <c:pt idx="833">
                  <c:v>45463</c:v>
                </c:pt>
                <c:pt idx="834">
                  <c:v>45464</c:v>
                </c:pt>
                <c:pt idx="835">
                  <c:v>45467</c:v>
                </c:pt>
                <c:pt idx="836">
                  <c:v>45468</c:v>
                </c:pt>
                <c:pt idx="837">
                  <c:v>45469</c:v>
                </c:pt>
                <c:pt idx="838">
                  <c:v>45470</c:v>
                </c:pt>
                <c:pt idx="839">
                  <c:v>45471</c:v>
                </c:pt>
                <c:pt idx="840">
                  <c:v>45474</c:v>
                </c:pt>
                <c:pt idx="841">
                  <c:v>45475</c:v>
                </c:pt>
                <c:pt idx="842">
                  <c:v>45476</c:v>
                </c:pt>
                <c:pt idx="843">
                  <c:v>45477</c:v>
                </c:pt>
                <c:pt idx="844">
                  <c:v>45478</c:v>
                </c:pt>
                <c:pt idx="845">
                  <c:v>45481</c:v>
                </c:pt>
                <c:pt idx="846">
                  <c:v>45482</c:v>
                </c:pt>
                <c:pt idx="847">
                  <c:v>45483</c:v>
                </c:pt>
                <c:pt idx="848">
                  <c:v>45484</c:v>
                </c:pt>
                <c:pt idx="849">
                  <c:v>45485</c:v>
                </c:pt>
                <c:pt idx="850">
                  <c:v>45488</c:v>
                </c:pt>
                <c:pt idx="851">
                  <c:v>45489</c:v>
                </c:pt>
                <c:pt idx="852">
                  <c:v>45491</c:v>
                </c:pt>
                <c:pt idx="853">
                  <c:v>45492</c:v>
                </c:pt>
                <c:pt idx="854">
                  <c:v>45495</c:v>
                </c:pt>
                <c:pt idx="855">
                  <c:v>45496</c:v>
                </c:pt>
                <c:pt idx="856">
                  <c:v>45497</c:v>
                </c:pt>
                <c:pt idx="857">
                  <c:v>45498</c:v>
                </c:pt>
                <c:pt idx="858">
                  <c:v>45499</c:v>
                </c:pt>
                <c:pt idx="859">
                  <c:v>45502</c:v>
                </c:pt>
                <c:pt idx="860">
                  <c:v>45503</c:v>
                </c:pt>
                <c:pt idx="861">
                  <c:v>45504</c:v>
                </c:pt>
                <c:pt idx="862">
                  <c:v>45505</c:v>
                </c:pt>
                <c:pt idx="863">
                  <c:v>45506</c:v>
                </c:pt>
                <c:pt idx="864">
                  <c:v>45509</c:v>
                </c:pt>
                <c:pt idx="865">
                  <c:v>45510</c:v>
                </c:pt>
                <c:pt idx="866">
                  <c:v>45511</c:v>
                </c:pt>
                <c:pt idx="867">
                  <c:v>45512</c:v>
                </c:pt>
                <c:pt idx="868">
                  <c:v>45513</c:v>
                </c:pt>
                <c:pt idx="869">
                  <c:v>45516</c:v>
                </c:pt>
                <c:pt idx="870">
                  <c:v>45517</c:v>
                </c:pt>
                <c:pt idx="871">
                  <c:v>45518</c:v>
                </c:pt>
                <c:pt idx="872">
                  <c:v>45520</c:v>
                </c:pt>
                <c:pt idx="873">
                  <c:v>45523</c:v>
                </c:pt>
                <c:pt idx="874">
                  <c:v>45524</c:v>
                </c:pt>
                <c:pt idx="875">
                  <c:v>45525</c:v>
                </c:pt>
                <c:pt idx="876">
                  <c:v>45526</c:v>
                </c:pt>
                <c:pt idx="877">
                  <c:v>45527</c:v>
                </c:pt>
                <c:pt idx="878">
                  <c:v>45530</c:v>
                </c:pt>
                <c:pt idx="879">
                  <c:v>45531</c:v>
                </c:pt>
                <c:pt idx="880">
                  <c:v>45532</c:v>
                </c:pt>
                <c:pt idx="881">
                  <c:v>45533</c:v>
                </c:pt>
                <c:pt idx="882">
                  <c:v>45534</c:v>
                </c:pt>
                <c:pt idx="883">
                  <c:v>45537</c:v>
                </c:pt>
                <c:pt idx="884">
                  <c:v>45538</c:v>
                </c:pt>
                <c:pt idx="885">
                  <c:v>45539</c:v>
                </c:pt>
                <c:pt idx="886">
                  <c:v>45540</c:v>
                </c:pt>
                <c:pt idx="887">
                  <c:v>45541</c:v>
                </c:pt>
                <c:pt idx="888">
                  <c:v>45544</c:v>
                </c:pt>
                <c:pt idx="889">
                  <c:v>45545</c:v>
                </c:pt>
                <c:pt idx="890">
                  <c:v>45546</c:v>
                </c:pt>
                <c:pt idx="891">
                  <c:v>45547</c:v>
                </c:pt>
                <c:pt idx="892">
                  <c:v>45548</c:v>
                </c:pt>
                <c:pt idx="893">
                  <c:v>45551</c:v>
                </c:pt>
                <c:pt idx="894">
                  <c:v>45552</c:v>
                </c:pt>
                <c:pt idx="895">
                  <c:v>45553</c:v>
                </c:pt>
                <c:pt idx="896">
                  <c:v>45554</c:v>
                </c:pt>
                <c:pt idx="897">
                  <c:v>45555</c:v>
                </c:pt>
                <c:pt idx="898">
                  <c:v>45558</c:v>
                </c:pt>
                <c:pt idx="899">
                  <c:v>45559</c:v>
                </c:pt>
                <c:pt idx="900">
                  <c:v>45560</c:v>
                </c:pt>
                <c:pt idx="901">
                  <c:v>45561</c:v>
                </c:pt>
                <c:pt idx="902">
                  <c:v>45562</c:v>
                </c:pt>
                <c:pt idx="903">
                  <c:v>45565</c:v>
                </c:pt>
                <c:pt idx="904">
                  <c:v>45566</c:v>
                </c:pt>
                <c:pt idx="905">
                  <c:v>45568</c:v>
                </c:pt>
                <c:pt idx="906">
                  <c:v>45569</c:v>
                </c:pt>
                <c:pt idx="907">
                  <c:v>45572</c:v>
                </c:pt>
                <c:pt idx="908">
                  <c:v>45573</c:v>
                </c:pt>
                <c:pt idx="909">
                  <c:v>45574</c:v>
                </c:pt>
                <c:pt idx="910">
                  <c:v>45575</c:v>
                </c:pt>
                <c:pt idx="911">
                  <c:v>45576</c:v>
                </c:pt>
                <c:pt idx="912">
                  <c:v>45579</c:v>
                </c:pt>
                <c:pt idx="913">
                  <c:v>45580</c:v>
                </c:pt>
                <c:pt idx="914">
                  <c:v>45581</c:v>
                </c:pt>
                <c:pt idx="915">
                  <c:v>45582</c:v>
                </c:pt>
                <c:pt idx="916">
                  <c:v>45583</c:v>
                </c:pt>
                <c:pt idx="917">
                  <c:v>45586</c:v>
                </c:pt>
                <c:pt idx="918">
                  <c:v>45587</c:v>
                </c:pt>
                <c:pt idx="919">
                  <c:v>45588</c:v>
                </c:pt>
                <c:pt idx="920">
                  <c:v>45589</c:v>
                </c:pt>
                <c:pt idx="921">
                  <c:v>45590</c:v>
                </c:pt>
                <c:pt idx="922">
                  <c:v>45593</c:v>
                </c:pt>
                <c:pt idx="923">
                  <c:v>45594</c:v>
                </c:pt>
                <c:pt idx="924">
                  <c:v>45595</c:v>
                </c:pt>
                <c:pt idx="925">
                  <c:v>45596</c:v>
                </c:pt>
                <c:pt idx="926">
                  <c:v>45600</c:v>
                </c:pt>
                <c:pt idx="927">
                  <c:v>45601</c:v>
                </c:pt>
                <c:pt idx="928">
                  <c:v>45602</c:v>
                </c:pt>
                <c:pt idx="929">
                  <c:v>45603</c:v>
                </c:pt>
                <c:pt idx="930">
                  <c:v>45604</c:v>
                </c:pt>
                <c:pt idx="931">
                  <c:v>45607</c:v>
                </c:pt>
                <c:pt idx="932">
                  <c:v>45608</c:v>
                </c:pt>
                <c:pt idx="933">
                  <c:v>45609</c:v>
                </c:pt>
                <c:pt idx="934">
                  <c:v>45610</c:v>
                </c:pt>
                <c:pt idx="935">
                  <c:v>45614</c:v>
                </c:pt>
                <c:pt idx="936">
                  <c:v>45615</c:v>
                </c:pt>
                <c:pt idx="937">
                  <c:v>45617</c:v>
                </c:pt>
                <c:pt idx="938">
                  <c:v>45618</c:v>
                </c:pt>
                <c:pt idx="939">
                  <c:v>45621</c:v>
                </c:pt>
                <c:pt idx="940">
                  <c:v>45622</c:v>
                </c:pt>
                <c:pt idx="941">
                  <c:v>45623</c:v>
                </c:pt>
                <c:pt idx="942">
                  <c:v>45624</c:v>
                </c:pt>
                <c:pt idx="943">
                  <c:v>45625</c:v>
                </c:pt>
                <c:pt idx="944">
                  <c:v>45628</c:v>
                </c:pt>
                <c:pt idx="945">
                  <c:v>45629</c:v>
                </c:pt>
                <c:pt idx="946">
                  <c:v>45630</c:v>
                </c:pt>
                <c:pt idx="947">
                  <c:v>45631</c:v>
                </c:pt>
                <c:pt idx="948">
                  <c:v>45632</c:v>
                </c:pt>
                <c:pt idx="949">
                  <c:v>45635</c:v>
                </c:pt>
                <c:pt idx="950">
                  <c:v>45636</c:v>
                </c:pt>
                <c:pt idx="951">
                  <c:v>45637</c:v>
                </c:pt>
                <c:pt idx="952">
                  <c:v>45638</c:v>
                </c:pt>
                <c:pt idx="953">
                  <c:v>45639</c:v>
                </c:pt>
                <c:pt idx="954">
                  <c:v>45642</c:v>
                </c:pt>
                <c:pt idx="955">
                  <c:v>45643</c:v>
                </c:pt>
                <c:pt idx="956">
                  <c:v>45644</c:v>
                </c:pt>
                <c:pt idx="957">
                  <c:v>45645</c:v>
                </c:pt>
                <c:pt idx="958">
                  <c:v>45646</c:v>
                </c:pt>
                <c:pt idx="959">
                  <c:v>45649</c:v>
                </c:pt>
                <c:pt idx="960">
                  <c:v>45650</c:v>
                </c:pt>
                <c:pt idx="961">
                  <c:v>45652</c:v>
                </c:pt>
                <c:pt idx="962">
                  <c:v>45653</c:v>
                </c:pt>
                <c:pt idx="963">
                  <c:v>45656</c:v>
                </c:pt>
                <c:pt idx="964">
                  <c:v>45657</c:v>
                </c:pt>
                <c:pt idx="965">
                  <c:v>45658</c:v>
                </c:pt>
                <c:pt idx="966">
                  <c:v>45659</c:v>
                </c:pt>
                <c:pt idx="967">
                  <c:v>45660</c:v>
                </c:pt>
                <c:pt idx="968">
                  <c:v>45663</c:v>
                </c:pt>
                <c:pt idx="969">
                  <c:v>45664</c:v>
                </c:pt>
                <c:pt idx="970">
                  <c:v>45665</c:v>
                </c:pt>
                <c:pt idx="971">
                  <c:v>45666</c:v>
                </c:pt>
                <c:pt idx="972">
                  <c:v>45667</c:v>
                </c:pt>
                <c:pt idx="973">
                  <c:v>45670</c:v>
                </c:pt>
                <c:pt idx="974">
                  <c:v>45671</c:v>
                </c:pt>
                <c:pt idx="975">
                  <c:v>45672</c:v>
                </c:pt>
                <c:pt idx="976">
                  <c:v>45673</c:v>
                </c:pt>
                <c:pt idx="977">
                  <c:v>45674</c:v>
                </c:pt>
                <c:pt idx="978">
                  <c:v>45677</c:v>
                </c:pt>
                <c:pt idx="979">
                  <c:v>45678</c:v>
                </c:pt>
                <c:pt idx="980">
                  <c:v>45679</c:v>
                </c:pt>
                <c:pt idx="981">
                  <c:v>45680</c:v>
                </c:pt>
                <c:pt idx="982">
                  <c:v>45681</c:v>
                </c:pt>
                <c:pt idx="983">
                  <c:v>45684</c:v>
                </c:pt>
                <c:pt idx="984">
                  <c:v>45685</c:v>
                </c:pt>
                <c:pt idx="985">
                  <c:v>45686</c:v>
                </c:pt>
                <c:pt idx="986">
                  <c:v>45687</c:v>
                </c:pt>
                <c:pt idx="987">
                  <c:v>45688</c:v>
                </c:pt>
                <c:pt idx="988">
                  <c:v>45691</c:v>
                </c:pt>
                <c:pt idx="989">
                  <c:v>45692</c:v>
                </c:pt>
                <c:pt idx="990">
                  <c:v>45693</c:v>
                </c:pt>
                <c:pt idx="991">
                  <c:v>45694</c:v>
                </c:pt>
                <c:pt idx="992">
                  <c:v>45695</c:v>
                </c:pt>
                <c:pt idx="993">
                  <c:v>45698</c:v>
                </c:pt>
                <c:pt idx="994">
                  <c:v>45699</c:v>
                </c:pt>
                <c:pt idx="995">
                  <c:v>45700</c:v>
                </c:pt>
                <c:pt idx="996">
                  <c:v>45701</c:v>
                </c:pt>
                <c:pt idx="997">
                  <c:v>45702</c:v>
                </c:pt>
                <c:pt idx="998">
                  <c:v>45705</c:v>
                </c:pt>
                <c:pt idx="999">
                  <c:v>45706</c:v>
                </c:pt>
                <c:pt idx="1000">
                  <c:v>45707</c:v>
                </c:pt>
                <c:pt idx="1001">
                  <c:v>45708</c:v>
                </c:pt>
                <c:pt idx="1002">
                  <c:v>45709</c:v>
                </c:pt>
                <c:pt idx="1003">
                  <c:v>45712</c:v>
                </c:pt>
                <c:pt idx="1004">
                  <c:v>45713</c:v>
                </c:pt>
                <c:pt idx="1005">
                  <c:v>45715</c:v>
                </c:pt>
                <c:pt idx="1006">
                  <c:v>45716</c:v>
                </c:pt>
              </c:numCache>
            </c:numRef>
          </c:cat>
          <c:val>
            <c:numRef>
              <c:f>Sheet2!$B$2:$B$1008</c:f>
              <c:numCache>
                <c:formatCode>General</c:formatCode>
                <c:ptCount val="1007"/>
                <c:pt idx="0">
                  <c:v>215.95</c:v>
                </c:pt>
                <c:pt idx="1">
                  <c:v>218.2</c:v>
                </c:pt>
                <c:pt idx="2">
                  <c:v>216.75</c:v>
                </c:pt>
                <c:pt idx="3">
                  <c:v>229.95</c:v>
                </c:pt>
                <c:pt idx="4">
                  <c:v>234.35</c:v>
                </c:pt>
                <c:pt idx="5">
                  <c:v>233.1</c:v>
                </c:pt>
                <c:pt idx="6">
                  <c:v>229</c:v>
                </c:pt>
                <c:pt idx="7">
                  <c:v>227.55</c:v>
                </c:pt>
                <c:pt idx="8">
                  <c:v>226.45</c:v>
                </c:pt>
                <c:pt idx="9">
                  <c:v>217.45</c:v>
                </c:pt>
                <c:pt idx="10">
                  <c:v>218.6</c:v>
                </c:pt>
                <c:pt idx="11">
                  <c:v>218.25</c:v>
                </c:pt>
                <c:pt idx="12">
                  <c:v>217.75</c:v>
                </c:pt>
                <c:pt idx="13">
                  <c:v>218.85</c:v>
                </c:pt>
                <c:pt idx="14">
                  <c:v>215.95</c:v>
                </c:pt>
                <c:pt idx="15">
                  <c:v>207.05</c:v>
                </c:pt>
                <c:pt idx="16">
                  <c:v>208.5</c:v>
                </c:pt>
                <c:pt idx="17">
                  <c:v>208.85</c:v>
                </c:pt>
                <c:pt idx="18">
                  <c:v>209.15</c:v>
                </c:pt>
                <c:pt idx="19">
                  <c:v>203.85</c:v>
                </c:pt>
                <c:pt idx="20">
                  <c:v>206.9</c:v>
                </c:pt>
                <c:pt idx="21">
                  <c:v>209.9</c:v>
                </c:pt>
                <c:pt idx="22">
                  <c:v>209.95</c:v>
                </c:pt>
                <c:pt idx="23">
                  <c:v>209.7</c:v>
                </c:pt>
                <c:pt idx="24">
                  <c:v>208.55</c:v>
                </c:pt>
                <c:pt idx="25">
                  <c:v>208</c:v>
                </c:pt>
                <c:pt idx="26">
                  <c:v>207.8</c:v>
                </c:pt>
                <c:pt idx="27">
                  <c:v>206.5</c:v>
                </c:pt>
                <c:pt idx="28">
                  <c:v>205.2</c:v>
                </c:pt>
                <c:pt idx="29">
                  <c:v>205.45</c:v>
                </c:pt>
                <c:pt idx="30">
                  <c:v>207.85</c:v>
                </c:pt>
                <c:pt idx="31">
                  <c:v>210.6</c:v>
                </c:pt>
                <c:pt idx="32">
                  <c:v>217.65</c:v>
                </c:pt>
                <c:pt idx="33">
                  <c:v>222.95</c:v>
                </c:pt>
                <c:pt idx="34">
                  <c:v>226</c:v>
                </c:pt>
                <c:pt idx="35">
                  <c:v>222.2</c:v>
                </c:pt>
                <c:pt idx="36">
                  <c:v>215.95</c:v>
                </c:pt>
                <c:pt idx="37">
                  <c:v>211.6</c:v>
                </c:pt>
                <c:pt idx="38">
                  <c:v>210.9</c:v>
                </c:pt>
                <c:pt idx="39">
                  <c:v>214.55</c:v>
                </c:pt>
                <c:pt idx="40">
                  <c:v>218.5</c:v>
                </c:pt>
                <c:pt idx="41">
                  <c:v>220.05</c:v>
                </c:pt>
                <c:pt idx="42">
                  <c:v>212.55</c:v>
                </c:pt>
                <c:pt idx="43">
                  <c:v>212.65</c:v>
                </c:pt>
                <c:pt idx="44">
                  <c:v>213.8</c:v>
                </c:pt>
                <c:pt idx="45">
                  <c:v>213.25</c:v>
                </c:pt>
                <c:pt idx="46">
                  <c:v>213.1</c:v>
                </c:pt>
                <c:pt idx="47">
                  <c:v>205.3</c:v>
                </c:pt>
                <c:pt idx="48">
                  <c:v>208.7</c:v>
                </c:pt>
                <c:pt idx="49">
                  <c:v>206.7</c:v>
                </c:pt>
                <c:pt idx="50">
                  <c:v>207.95</c:v>
                </c:pt>
                <c:pt idx="51">
                  <c:v>205.6</c:v>
                </c:pt>
                <c:pt idx="52">
                  <c:v>203.55</c:v>
                </c:pt>
                <c:pt idx="53">
                  <c:v>205.9</c:v>
                </c:pt>
                <c:pt idx="54">
                  <c:v>205.35</c:v>
                </c:pt>
                <c:pt idx="55">
                  <c:v>205.3</c:v>
                </c:pt>
                <c:pt idx="56">
                  <c:v>205.4</c:v>
                </c:pt>
                <c:pt idx="57">
                  <c:v>205.5</c:v>
                </c:pt>
                <c:pt idx="58">
                  <c:v>204.3</c:v>
                </c:pt>
                <c:pt idx="59">
                  <c:v>202.6</c:v>
                </c:pt>
                <c:pt idx="60">
                  <c:v>200.95</c:v>
                </c:pt>
                <c:pt idx="61">
                  <c:v>199.6</c:v>
                </c:pt>
                <c:pt idx="62">
                  <c:v>201.4</c:v>
                </c:pt>
                <c:pt idx="63">
                  <c:v>202.75</c:v>
                </c:pt>
                <c:pt idx="64">
                  <c:v>205.35</c:v>
                </c:pt>
                <c:pt idx="65">
                  <c:v>205.55</c:v>
                </c:pt>
                <c:pt idx="66">
                  <c:v>204</c:v>
                </c:pt>
                <c:pt idx="67">
                  <c:v>203.25</c:v>
                </c:pt>
                <c:pt idx="68">
                  <c:v>212.25</c:v>
                </c:pt>
                <c:pt idx="69">
                  <c:v>212.6</c:v>
                </c:pt>
                <c:pt idx="70">
                  <c:v>210.05</c:v>
                </c:pt>
                <c:pt idx="71">
                  <c:v>207.75</c:v>
                </c:pt>
                <c:pt idx="72">
                  <c:v>207</c:v>
                </c:pt>
                <c:pt idx="73">
                  <c:v>209.05</c:v>
                </c:pt>
                <c:pt idx="74">
                  <c:v>211.5</c:v>
                </c:pt>
                <c:pt idx="75">
                  <c:v>210.9</c:v>
                </c:pt>
                <c:pt idx="76">
                  <c:v>210.6</c:v>
                </c:pt>
                <c:pt idx="77">
                  <c:v>211.15</c:v>
                </c:pt>
                <c:pt idx="78">
                  <c:v>212.9</c:v>
                </c:pt>
                <c:pt idx="79">
                  <c:v>216.6</c:v>
                </c:pt>
                <c:pt idx="80">
                  <c:v>215.25</c:v>
                </c:pt>
                <c:pt idx="81">
                  <c:v>209</c:v>
                </c:pt>
                <c:pt idx="82">
                  <c:v>209.05</c:v>
                </c:pt>
                <c:pt idx="83">
                  <c:v>208.75</c:v>
                </c:pt>
                <c:pt idx="84">
                  <c:v>211.45</c:v>
                </c:pt>
                <c:pt idx="85">
                  <c:v>213.65</c:v>
                </c:pt>
                <c:pt idx="86">
                  <c:v>212.5</c:v>
                </c:pt>
                <c:pt idx="87">
                  <c:v>209.3</c:v>
                </c:pt>
                <c:pt idx="88">
                  <c:v>207.9</c:v>
                </c:pt>
                <c:pt idx="89">
                  <c:v>207.3</c:v>
                </c:pt>
                <c:pt idx="90">
                  <c:v>207.05</c:v>
                </c:pt>
                <c:pt idx="91">
                  <c:v>207.85</c:v>
                </c:pt>
                <c:pt idx="92">
                  <c:v>205.65</c:v>
                </c:pt>
                <c:pt idx="93">
                  <c:v>204.55</c:v>
                </c:pt>
                <c:pt idx="94">
                  <c:v>204.45</c:v>
                </c:pt>
                <c:pt idx="95">
                  <c:v>205.1</c:v>
                </c:pt>
                <c:pt idx="96">
                  <c:v>203.95</c:v>
                </c:pt>
                <c:pt idx="97">
                  <c:v>203.25</c:v>
                </c:pt>
                <c:pt idx="98">
                  <c:v>205.05</c:v>
                </c:pt>
                <c:pt idx="99">
                  <c:v>203.6</c:v>
                </c:pt>
                <c:pt idx="100">
                  <c:v>203.3</c:v>
                </c:pt>
                <c:pt idx="101">
                  <c:v>202.7</c:v>
                </c:pt>
                <c:pt idx="102">
                  <c:v>203</c:v>
                </c:pt>
                <c:pt idx="103">
                  <c:v>202.4</c:v>
                </c:pt>
                <c:pt idx="104">
                  <c:v>203.65</c:v>
                </c:pt>
                <c:pt idx="105">
                  <c:v>202.5</c:v>
                </c:pt>
                <c:pt idx="106">
                  <c:v>203.75</c:v>
                </c:pt>
                <c:pt idx="107">
                  <c:v>202</c:v>
                </c:pt>
                <c:pt idx="108">
                  <c:v>201.35</c:v>
                </c:pt>
                <c:pt idx="109">
                  <c:v>201.1</c:v>
                </c:pt>
                <c:pt idx="110">
                  <c:v>201.85</c:v>
                </c:pt>
                <c:pt idx="111">
                  <c:v>204.1</c:v>
                </c:pt>
                <c:pt idx="112">
                  <c:v>206.25</c:v>
                </c:pt>
                <c:pt idx="113">
                  <c:v>207.9</c:v>
                </c:pt>
                <c:pt idx="114">
                  <c:v>207.75</c:v>
                </c:pt>
                <c:pt idx="115">
                  <c:v>206.8</c:v>
                </c:pt>
                <c:pt idx="116">
                  <c:v>207</c:v>
                </c:pt>
                <c:pt idx="117">
                  <c:v>212.4</c:v>
                </c:pt>
                <c:pt idx="118">
                  <c:v>211.15</c:v>
                </c:pt>
                <c:pt idx="119">
                  <c:v>208.65</c:v>
                </c:pt>
                <c:pt idx="120">
                  <c:v>209.1</c:v>
                </c:pt>
                <c:pt idx="121">
                  <c:v>206.05</c:v>
                </c:pt>
                <c:pt idx="122">
                  <c:v>204.95</c:v>
                </c:pt>
                <c:pt idx="123">
                  <c:v>207.3</c:v>
                </c:pt>
                <c:pt idx="124">
                  <c:v>209.9</c:v>
                </c:pt>
                <c:pt idx="125">
                  <c:v>208.6</c:v>
                </c:pt>
                <c:pt idx="126">
                  <c:v>215.25</c:v>
                </c:pt>
                <c:pt idx="127">
                  <c:v>214.25</c:v>
                </c:pt>
                <c:pt idx="128">
                  <c:v>213.8</c:v>
                </c:pt>
                <c:pt idx="129">
                  <c:v>209.85</c:v>
                </c:pt>
                <c:pt idx="130">
                  <c:v>208.65</c:v>
                </c:pt>
                <c:pt idx="131">
                  <c:v>208.9</c:v>
                </c:pt>
                <c:pt idx="132">
                  <c:v>211.45</c:v>
                </c:pt>
                <c:pt idx="133">
                  <c:v>210.9</c:v>
                </c:pt>
                <c:pt idx="134">
                  <c:v>209.2</c:v>
                </c:pt>
                <c:pt idx="135">
                  <c:v>208.95</c:v>
                </c:pt>
                <c:pt idx="136">
                  <c:v>208.9</c:v>
                </c:pt>
                <c:pt idx="137">
                  <c:v>206.3</c:v>
                </c:pt>
                <c:pt idx="138">
                  <c:v>205.75</c:v>
                </c:pt>
                <c:pt idx="139">
                  <c:v>206.4</c:v>
                </c:pt>
                <c:pt idx="140">
                  <c:v>204.6</c:v>
                </c:pt>
                <c:pt idx="141">
                  <c:v>205.9</c:v>
                </c:pt>
                <c:pt idx="142">
                  <c:v>208</c:v>
                </c:pt>
                <c:pt idx="143">
                  <c:v>211.3</c:v>
                </c:pt>
                <c:pt idx="144">
                  <c:v>209.5</c:v>
                </c:pt>
                <c:pt idx="145">
                  <c:v>209.75</c:v>
                </c:pt>
                <c:pt idx="146">
                  <c:v>210.6</c:v>
                </c:pt>
                <c:pt idx="147">
                  <c:v>209.3</c:v>
                </c:pt>
                <c:pt idx="148">
                  <c:v>211.75</c:v>
                </c:pt>
                <c:pt idx="149">
                  <c:v>211.25</c:v>
                </c:pt>
                <c:pt idx="150">
                  <c:v>212.65</c:v>
                </c:pt>
                <c:pt idx="151">
                  <c:v>214.15</c:v>
                </c:pt>
                <c:pt idx="152">
                  <c:v>216.1</c:v>
                </c:pt>
                <c:pt idx="153">
                  <c:v>216</c:v>
                </c:pt>
                <c:pt idx="154">
                  <c:v>230.75</c:v>
                </c:pt>
                <c:pt idx="155">
                  <c:v>231.15</c:v>
                </c:pt>
                <c:pt idx="156">
                  <c:v>233.75</c:v>
                </c:pt>
                <c:pt idx="157">
                  <c:v>241.5</c:v>
                </c:pt>
                <c:pt idx="158">
                  <c:v>243.5</c:v>
                </c:pt>
                <c:pt idx="159">
                  <c:v>242.5</c:v>
                </c:pt>
                <c:pt idx="160">
                  <c:v>238.45</c:v>
                </c:pt>
                <c:pt idx="161">
                  <c:v>238.7</c:v>
                </c:pt>
                <c:pt idx="162">
                  <c:v>237.75</c:v>
                </c:pt>
                <c:pt idx="163">
                  <c:v>238.1</c:v>
                </c:pt>
                <c:pt idx="164">
                  <c:v>236.15</c:v>
                </c:pt>
                <c:pt idx="165">
                  <c:v>235.35</c:v>
                </c:pt>
                <c:pt idx="166">
                  <c:v>236.6</c:v>
                </c:pt>
                <c:pt idx="167">
                  <c:v>234.7</c:v>
                </c:pt>
                <c:pt idx="168">
                  <c:v>231.25</c:v>
                </c:pt>
                <c:pt idx="169">
                  <c:v>232.95</c:v>
                </c:pt>
                <c:pt idx="170">
                  <c:v>231.7</c:v>
                </c:pt>
                <c:pt idx="171">
                  <c:v>238.05</c:v>
                </c:pt>
                <c:pt idx="172">
                  <c:v>241.3</c:v>
                </c:pt>
                <c:pt idx="173">
                  <c:v>249.2</c:v>
                </c:pt>
                <c:pt idx="174">
                  <c:v>256.55</c:v>
                </c:pt>
                <c:pt idx="175">
                  <c:v>262.55</c:v>
                </c:pt>
                <c:pt idx="176">
                  <c:v>245.95</c:v>
                </c:pt>
                <c:pt idx="177">
                  <c:v>246.6</c:v>
                </c:pt>
                <c:pt idx="178">
                  <c:v>244.7</c:v>
                </c:pt>
                <c:pt idx="179">
                  <c:v>236.6</c:v>
                </c:pt>
                <c:pt idx="180">
                  <c:v>233.4</c:v>
                </c:pt>
                <c:pt idx="181">
                  <c:v>236.7</c:v>
                </c:pt>
                <c:pt idx="182">
                  <c:v>238.45</c:v>
                </c:pt>
                <c:pt idx="183">
                  <c:v>225.1</c:v>
                </c:pt>
                <c:pt idx="184">
                  <c:v>223.2</c:v>
                </c:pt>
                <c:pt idx="185">
                  <c:v>226.85</c:v>
                </c:pt>
                <c:pt idx="186">
                  <c:v>225.6</c:v>
                </c:pt>
                <c:pt idx="187">
                  <c:v>222.45</c:v>
                </c:pt>
                <c:pt idx="188">
                  <c:v>226.55</c:v>
                </c:pt>
                <c:pt idx="189">
                  <c:v>229.8</c:v>
                </c:pt>
                <c:pt idx="190">
                  <c:v>228.75</c:v>
                </c:pt>
                <c:pt idx="191">
                  <c:v>230.85</c:v>
                </c:pt>
                <c:pt idx="192">
                  <c:v>230</c:v>
                </c:pt>
                <c:pt idx="193">
                  <c:v>232.9</c:v>
                </c:pt>
                <c:pt idx="194">
                  <c:v>238.1</c:v>
                </c:pt>
                <c:pt idx="195">
                  <c:v>235.45</c:v>
                </c:pt>
                <c:pt idx="196">
                  <c:v>239.5</c:v>
                </c:pt>
                <c:pt idx="197">
                  <c:v>237.5</c:v>
                </c:pt>
                <c:pt idx="198">
                  <c:v>230.9</c:v>
                </c:pt>
                <c:pt idx="199">
                  <c:v>231.6</c:v>
                </c:pt>
                <c:pt idx="200">
                  <c:v>227.7</c:v>
                </c:pt>
                <c:pt idx="201">
                  <c:v>231.3</c:v>
                </c:pt>
                <c:pt idx="202">
                  <c:v>224</c:v>
                </c:pt>
                <c:pt idx="203">
                  <c:v>221.5</c:v>
                </c:pt>
                <c:pt idx="204">
                  <c:v>221.15</c:v>
                </c:pt>
                <c:pt idx="205">
                  <c:v>221.9</c:v>
                </c:pt>
                <c:pt idx="206">
                  <c:v>225.45</c:v>
                </c:pt>
                <c:pt idx="207">
                  <c:v>221.65</c:v>
                </c:pt>
                <c:pt idx="208">
                  <c:v>217.9</c:v>
                </c:pt>
                <c:pt idx="209">
                  <c:v>220.65</c:v>
                </c:pt>
                <c:pt idx="210">
                  <c:v>224.95</c:v>
                </c:pt>
                <c:pt idx="211">
                  <c:v>235.4</c:v>
                </c:pt>
                <c:pt idx="212">
                  <c:v>236.1</c:v>
                </c:pt>
                <c:pt idx="213">
                  <c:v>234.6</c:v>
                </c:pt>
                <c:pt idx="214">
                  <c:v>228.6</c:v>
                </c:pt>
                <c:pt idx="215">
                  <c:v>224.05</c:v>
                </c:pt>
                <c:pt idx="216">
                  <c:v>222.9</c:v>
                </c:pt>
                <c:pt idx="217">
                  <c:v>217.95</c:v>
                </c:pt>
                <c:pt idx="218">
                  <c:v>212.4</c:v>
                </c:pt>
                <c:pt idx="219">
                  <c:v>212.5</c:v>
                </c:pt>
                <c:pt idx="220">
                  <c:v>212</c:v>
                </c:pt>
                <c:pt idx="221">
                  <c:v>217.3</c:v>
                </c:pt>
                <c:pt idx="222">
                  <c:v>218</c:v>
                </c:pt>
                <c:pt idx="223">
                  <c:v>217.55</c:v>
                </c:pt>
                <c:pt idx="224">
                  <c:v>220.05</c:v>
                </c:pt>
                <c:pt idx="225">
                  <c:v>216.75</c:v>
                </c:pt>
                <c:pt idx="226">
                  <c:v>216</c:v>
                </c:pt>
                <c:pt idx="227">
                  <c:v>218.05</c:v>
                </c:pt>
                <c:pt idx="228">
                  <c:v>219.1</c:v>
                </c:pt>
                <c:pt idx="229">
                  <c:v>220.25</c:v>
                </c:pt>
                <c:pt idx="230">
                  <c:v>220.55</c:v>
                </c:pt>
                <c:pt idx="231">
                  <c:v>218.7</c:v>
                </c:pt>
                <c:pt idx="232">
                  <c:v>218.4</c:v>
                </c:pt>
                <c:pt idx="233">
                  <c:v>223.3</c:v>
                </c:pt>
                <c:pt idx="234">
                  <c:v>221.95</c:v>
                </c:pt>
                <c:pt idx="235">
                  <c:v>222.75</c:v>
                </c:pt>
                <c:pt idx="236">
                  <c:v>223.95</c:v>
                </c:pt>
                <c:pt idx="237">
                  <c:v>222.6</c:v>
                </c:pt>
                <c:pt idx="238">
                  <c:v>224.6</c:v>
                </c:pt>
                <c:pt idx="239">
                  <c:v>220.75</c:v>
                </c:pt>
                <c:pt idx="240">
                  <c:v>220.35</c:v>
                </c:pt>
                <c:pt idx="241">
                  <c:v>218.75</c:v>
                </c:pt>
                <c:pt idx="242">
                  <c:v>217.05</c:v>
                </c:pt>
                <c:pt idx="243">
                  <c:v>211.8</c:v>
                </c:pt>
                <c:pt idx="244">
                  <c:v>214.3</c:v>
                </c:pt>
                <c:pt idx="245">
                  <c:v>214.6</c:v>
                </c:pt>
                <c:pt idx="246">
                  <c:v>217.6</c:v>
                </c:pt>
                <c:pt idx="247">
                  <c:v>220.2</c:v>
                </c:pt>
                <c:pt idx="248">
                  <c:v>227.75</c:v>
                </c:pt>
                <c:pt idx="249">
                  <c:v>232.15</c:v>
                </c:pt>
                <c:pt idx="250">
                  <c:v>234.45</c:v>
                </c:pt>
                <c:pt idx="251">
                  <c:v>234.3</c:v>
                </c:pt>
                <c:pt idx="252">
                  <c:v>230.2</c:v>
                </c:pt>
                <c:pt idx="253">
                  <c:v>231.25</c:v>
                </c:pt>
                <c:pt idx="254">
                  <c:v>230.15</c:v>
                </c:pt>
                <c:pt idx="255">
                  <c:v>232.25</c:v>
                </c:pt>
                <c:pt idx="256">
                  <c:v>232.45</c:v>
                </c:pt>
                <c:pt idx="257">
                  <c:v>219.45</c:v>
                </c:pt>
                <c:pt idx="258">
                  <c:v>223</c:v>
                </c:pt>
                <c:pt idx="259">
                  <c:v>222.75</c:v>
                </c:pt>
                <c:pt idx="260">
                  <c:v>222.65</c:v>
                </c:pt>
                <c:pt idx="261">
                  <c:v>221.9</c:v>
                </c:pt>
                <c:pt idx="262">
                  <c:v>218</c:v>
                </c:pt>
                <c:pt idx="263">
                  <c:v>214.85</c:v>
                </c:pt>
                <c:pt idx="264">
                  <c:v>215.95</c:v>
                </c:pt>
                <c:pt idx="265">
                  <c:v>208.5</c:v>
                </c:pt>
                <c:pt idx="266">
                  <c:v>213.95</c:v>
                </c:pt>
                <c:pt idx="267">
                  <c:v>215.85</c:v>
                </c:pt>
                <c:pt idx="268">
                  <c:v>215.3</c:v>
                </c:pt>
                <c:pt idx="269">
                  <c:v>219.4</c:v>
                </c:pt>
                <c:pt idx="270">
                  <c:v>225.5</c:v>
                </c:pt>
                <c:pt idx="271">
                  <c:v>224.95</c:v>
                </c:pt>
                <c:pt idx="272">
                  <c:v>226.9</c:v>
                </c:pt>
                <c:pt idx="273">
                  <c:v>229.25</c:v>
                </c:pt>
                <c:pt idx="274">
                  <c:v>232</c:v>
                </c:pt>
                <c:pt idx="275">
                  <c:v>236.35</c:v>
                </c:pt>
                <c:pt idx="276">
                  <c:v>239</c:v>
                </c:pt>
                <c:pt idx="277">
                  <c:v>237.85</c:v>
                </c:pt>
                <c:pt idx="278">
                  <c:v>242.6</c:v>
                </c:pt>
                <c:pt idx="279">
                  <c:v>244.9</c:v>
                </c:pt>
                <c:pt idx="280">
                  <c:v>244.5</c:v>
                </c:pt>
                <c:pt idx="281">
                  <c:v>249.75</c:v>
                </c:pt>
                <c:pt idx="282">
                  <c:v>252</c:v>
                </c:pt>
                <c:pt idx="283">
                  <c:v>254.85</c:v>
                </c:pt>
                <c:pt idx="284">
                  <c:v>253.35</c:v>
                </c:pt>
                <c:pt idx="285">
                  <c:v>257.05</c:v>
                </c:pt>
                <c:pt idx="286">
                  <c:v>254.6</c:v>
                </c:pt>
                <c:pt idx="287">
                  <c:v>249.2</c:v>
                </c:pt>
                <c:pt idx="288">
                  <c:v>250.65</c:v>
                </c:pt>
                <c:pt idx="289">
                  <c:v>253.3</c:v>
                </c:pt>
                <c:pt idx="290">
                  <c:v>255.45</c:v>
                </c:pt>
                <c:pt idx="291">
                  <c:v>259.45</c:v>
                </c:pt>
                <c:pt idx="292">
                  <c:v>259.60000000000002</c:v>
                </c:pt>
                <c:pt idx="293">
                  <c:v>256.64999999999998</c:v>
                </c:pt>
                <c:pt idx="294">
                  <c:v>267.8</c:v>
                </c:pt>
                <c:pt idx="295">
                  <c:v>267.5</c:v>
                </c:pt>
                <c:pt idx="296">
                  <c:v>264.8</c:v>
                </c:pt>
                <c:pt idx="297">
                  <c:v>269.55</c:v>
                </c:pt>
                <c:pt idx="298">
                  <c:v>270.10000000000002</c:v>
                </c:pt>
                <c:pt idx="299">
                  <c:v>261.55</c:v>
                </c:pt>
                <c:pt idx="300">
                  <c:v>259.55</c:v>
                </c:pt>
                <c:pt idx="301">
                  <c:v>260.39999999999998</c:v>
                </c:pt>
                <c:pt idx="302">
                  <c:v>261.10000000000002</c:v>
                </c:pt>
                <c:pt idx="303">
                  <c:v>255.25</c:v>
                </c:pt>
                <c:pt idx="304">
                  <c:v>258.95</c:v>
                </c:pt>
                <c:pt idx="305">
                  <c:v>257.5</c:v>
                </c:pt>
                <c:pt idx="306">
                  <c:v>261.10000000000002</c:v>
                </c:pt>
                <c:pt idx="307">
                  <c:v>259.55</c:v>
                </c:pt>
                <c:pt idx="308">
                  <c:v>263.14999999999998</c:v>
                </c:pt>
                <c:pt idx="309">
                  <c:v>259.75</c:v>
                </c:pt>
                <c:pt idx="310">
                  <c:v>262.05</c:v>
                </c:pt>
                <c:pt idx="311">
                  <c:v>266.64999999999998</c:v>
                </c:pt>
                <c:pt idx="312">
                  <c:v>262.95</c:v>
                </c:pt>
                <c:pt idx="313">
                  <c:v>259.75</c:v>
                </c:pt>
                <c:pt idx="314">
                  <c:v>255.65</c:v>
                </c:pt>
                <c:pt idx="315">
                  <c:v>252.9</c:v>
                </c:pt>
                <c:pt idx="316">
                  <c:v>258.60000000000002</c:v>
                </c:pt>
                <c:pt idx="317">
                  <c:v>254.1</c:v>
                </c:pt>
                <c:pt idx="318">
                  <c:v>264.7</c:v>
                </c:pt>
                <c:pt idx="319">
                  <c:v>266.8</c:v>
                </c:pt>
                <c:pt idx="320">
                  <c:v>275.64999999999998</c:v>
                </c:pt>
                <c:pt idx="321">
                  <c:v>280</c:v>
                </c:pt>
                <c:pt idx="322">
                  <c:v>274.5</c:v>
                </c:pt>
                <c:pt idx="323">
                  <c:v>270.85000000000002</c:v>
                </c:pt>
                <c:pt idx="324">
                  <c:v>272.7</c:v>
                </c:pt>
                <c:pt idx="325">
                  <c:v>266.7</c:v>
                </c:pt>
                <c:pt idx="326">
                  <c:v>269.2</c:v>
                </c:pt>
                <c:pt idx="327">
                  <c:v>269.05</c:v>
                </c:pt>
                <c:pt idx="328">
                  <c:v>270.64999999999998</c:v>
                </c:pt>
                <c:pt idx="329">
                  <c:v>271.85000000000002</c:v>
                </c:pt>
                <c:pt idx="330">
                  <c:v>273.5</c:v>
                </c:pt>
                <c:pt idx="331">
                  <c:v>272.7</c:v>
                </c:pt>
                <c:pt idx="332">
                  <c:v>274.8</c:v>
                </c:pt>
                <c:pt idx="333">
                  <c:v>273.89999999999998</c:v>
                </c:pt>
                <c:pt idx="334">
                  <c:v>267.89999999999998</c:v>
                </c:pt>
                <c:pt idx="335">
                  <c:v>270.85000000000002</c:v>
                </c:pt>
                <c:pt idx="336">
                  <c:v>270.14999999999998</c:v>
                </c:pt>
                <c:pt idx="337">
                  <c:v>264.64999999999998</c:v>
                </c:pt>
                <c:pt idx="338">
                  <c:v>265.45</c:v>
                </c:pt>
                <c:pt idx="339">
                  <c:v>263.39999999999998</c:v>
                </c:pt>
                <c:pt idx="340">
                  <c:v>260.7</c:v>
                </c:pt>
                <c:pt idx="341">
                  <c:v>263.3</c:v>
                </c:pt>
                <c:pt idx="342">
                  <c:v>264.10000000000002</c:v>
                </c:pt>
                <c:pt idx="343">
                  <c:v>269.89999999999998</c:v>
                </c:pt>
                <c:pt idx="344">
                  <c:v>265.3</c:v>
                </c:pt>
                <c:pt idx="345">
                  <c:v>265.5</c:v>
                </c:pt>
                <c:pt idx="346">
                  <c:v>265.85000000000002</c:v>
                </c:pt>
                <c:pt idx="347">
                  <c:v>269.95</c:v>
                </c:pt>
                <c:pt idx="348">
                  <c:v>271.85000000000002</c:v>
                </c:pt>
                <c:pt idx="349">
                  <c:v>274.05</c:v>
                </c:pt>
                <c:pt idx="350">
                  <c:v>273.5</c:v>
                </c:pt>
                <c:pt idx="351">
                  <c:v>284.35000000000002</c:v>
                </c:pt>
                <c:pt idx="352">
                  <c:v>291.89999999999998</c:v>
                </c:pt>
                <c:pt idx="353">
                  <c:v>286.89999999999998</c:v>
                </c:pt>
                <c:pt idx="354">
                  <c:v>289.3</c:v>
                </c:pt>
                <c:pt idx="355">
                  <c:v>291.95</c:v>
                </c:pt>
                <c:pt idx="356">
                  <c:v>293.05</c:v>
                </c:pt>
                <c:pt idx="357">
                  <c:v>295</c:v>
                </c:pt>
                <c:pt idx="358">
                  <c:v>292.7</c:v>
                </c:pt>
                <c:pt idx="359">
                  <c:v>294.05</c:v>
                </c:pt>
                <c:pt idx="360">
                  <c:v>290.85000000000002</c:v>
                </c:pt>
                <c:pt idx="361">
                  <c:v>293.55</c:v>
                </c:pt>
                <c:pt idx="362">
                  <c:v>295.3</c:v>
                </c:pt>
                <c:pt idx="363">
                  <c:v>294.60000000000002</c:v>
                </c:pt>
                <c:pt idx="364">
                  <c:v>298.2</c:v>
                </c:pt>
                <c:pt idx="365">
                  <c:v>299.55</c:v>
                </c:pt>
                <c:pt idx="366">
                  <c:v>300.55</c:v>
                </c:pt>
                <c:pt idx="367">
                  <c:v>301.10000000000002</c:v>
                </c:pt>
                <c:pt idx="368">
                  <c:v>302.45</c:v>
                </c:pt>
                <c:pt idx="369">
                  <c:v>304.14999999999998</c:v>
                </c:pt>
                <c:pt idx="370">
                  <c:v>303.45</c:v>
                </c:pt>
                <c:pt idx="371">
                  <c:v>303.05</c:v>
                </c:pt>
                <c:pt idx="372">
                  <c:v>307.5</c:v>
                </c:pt>
                <c:pt idx="373">
                  <c:v>309.95</c:v>
                </c:pt>
                <c:pt idx="374">
                  <c:v>308.14999999999998</c:v>
                </c:pt>
                <c:pt idx="375">
                  <c:v>309.5</c:v>
                </c:pt>
                <c:pt idx="376">
                  <c:v>310.85000000000002</c:v>
                </c:pt>
                <c:pt idx="377">
                  <c:v>313.14999999999998</c:v>
                </c:pt>
                <c:pt idx="378">
                  <c:v>311.2</c:v>
                </c:pt>
                <c:pt idx="379">
                  <c:v>306.25</c:v>
                </c:pt>
                <c:pt idx="380">
                  <c:v>308.55</c:v>
                </c:pt>
                <c:pt idx="381">
                  <c:v>310.55</c:v>
                </c:pt>
                <c:pt idx="382">
                  <c:v>312.55</c:v>
                </c:pt>
                <c:pt idx="383">
                  <c:v>315.64999999999998</c:v>
                </c:pt>
                <c:pt idx="384">
                  <c:v>312</c:v>
                </c:pt>
                <c:pt idx="385">
                  <c:v>314.39999999999998</c:v>
                </c:pt>
                <c:pt idx="386">
                  <c:v>315.89999999999998</c:v>
                </c:pt>
                <c:pt idx="387">
                  <c:v>314.10000000000002</c:v>
                </c:pt>
                <c:pt idx="388">
                  <c:v>312.35000000000002</c:v>
                </c:pt>
                <c:pt idx="389">
                  <c:v>312.89999999999998</c:v>
                </c:pt>
                <c:pt idx="390">
                  <c:v>313.55</c:v>
                </c:pt>
                <c:pt idx="391">
                  <c:v>320.5</c:v>
                </c:pt>
                <c:pt idx="392">
                  <c:v>317.60000000000002</c:v>
                </c:pt>
                <c:pt idx="393">
                  <c:v>323.14999999999998</c:v>
                </c:pt>
                <c:pt idx="394">
                  <c:v>328.85</c:v>
                </c:pt>
                <c:pt idx="395">
                  <c:v>327.14999999999998</c:v>
                </c:pt>
                <c:pt idx="396">
                  <c:v>326.10000000000002</c:v>
                </c:pt>
                <c:pt idx="397">
                  <c:v>329.9</c:v>
                </c:pt>
                <c:pt idx="398">
                  <c:v>330.5</c:v>
                </c:pt>
                <c:pt idx="399">
                  <c:v>330.9</c:v>
                </c:pt>
                <c:pt idx="400">
                  <c:v>334.4</c:v>
                </c:pt>
                <c:pt idx="401">
                  <c:v>335.35</c:v>
                </c:pt>
                <c:pt idx="402">
                  <c:v>334.1</c:v>
                </c:pt>
                <c:pt idx="403">
                  <c:v>331.3</c:v>
                </c:pt>
                <c:pt idx="404">
                  <c:v>335.6</c:v>
                </c:pt>
                <c:pt idx="405">
                  <c:v>336</c:v>
                </c:pt>
                <c:pt idx="406">
                  <c:v>340.95</c:v>
                </c:pt>
                <c:pt idx="407">
                  <c:v>345.05</c:v>
                </c:pt>
                <c:pt idx="408">
                  <c:v>346.4</c:v>
                </c:pt>
                <c:pt idx="409">
                  <c:v>332.6</c:v>
                </c:pt>
                <c:pt idx="410">
                  <c:v>334.85</c:v>
                </c:pt>
                <c:pt idx="411">
                  <c:v>324.95</c:v>
                </c:pt>
                <c:pt idx="412">
                  <c:v>333.05</c:v>
                </c:pt>
                <c:pt idx="413">
                  <c:v>332.2</c:v>
                </c:pt>
                <c:pt idx="414">
                  <c:v>324.39999999999998</c:v>
                </c:pt>
                <c:pt idx="415">
                  <c:v>332.85</c:v>
                </c:pt>
                <c:pt idx="416">
                  <c:v>336.65</c:v>
                </c:pt>
                <c:pt idx="417">
                  <c:v>334.1</c:v>
                </c:pt>
                <c:pt idx="418">
                  <c:v>327.85</c:v>
                </c:pt>
                <c:pt idx="419">
                  <c:v>326.3</c:v>
                </c:pt>
                <c:pt idx="420">
                  <c:v>330.1</c:v>
                </c:pt>
                <c:pt idx="421">
                  <c:v>328.65</c:v>
                </c:pt>
                <c:pt idx="422">
                  <c:v>332.1</c:v>
                </c:pt>
                <c:pt idx="423">
                  <c:v>332.25</c:v>
                </c:pt>
                <c:pt idx="424">
                  <c:v>340.3</c:v>
                </c:pt>
                <c:pt idx="425">
                  <c:v>346.35</c:v>
                </c:pt>
                <c:pt idx="426">
                  <c:v>349.7</c:v>
                </c:pt>
                <c:pt idx="427">
                  <c:v>345.6</c:v>
                </c:pt>
                <c:pt idx="428">
                  <c:v>346.3</c:v>
                </c:pt>
                <c:pt idx="429">
                  <c:v>345.8</c:v>
                </c:pt>
                <c:pt idx="430">
                  <c:v>345.8</c:v>
                </c:pt>
                <c:pt idx="431">
                  <c:v>348.7</c:v>
                </c:pt>
                <c:pt idx="432">
                  <c:v>349.5</c:v>
                </c:pt>
                <c:pt idx="433">
                  <c:v>354.65</c:v>
                </c:pt>
                <c:pt idx="434">
                  <c:v>353.7</c:v>
                </c:pt>
                <c:pt idx="435">
                  <c:v>353.6</c:v>
                </c:pt>
                <c:pt idx="436">
                  <c:v>353.5</c:v>
                </c:pt>
                <c:pt idx="437">
                  <c:v>360.7</c:v>
                </c:pt>
                <c:pt idx="438">
                  <c:v>356</c:v>
                </c:pt>
                <c:pt idx="439">
                  <c:v>356.35</c:v>
                </c:pt>
                <c:pt idx="440">
                  <c:v>347.2</c:v>
                </c:pt>
                <c:pt idx="441">
                  <c:v>345.25</c:v>
                </c:pt>
                <c:pt idx="442">
                  <c:v>344.1</c:v>
                </c:pt>
                <c:pt idx="443">
                  <c:v>343.7</c:v>
                </c:pt>
                <c:pt idx="444">
                  <c:v>341.05</c:v>
                </c:pt>
                <c:pt idx="445">
                  <c:v>337.2</c:v>
                </c:pt>
                <c:pt idx="446">
                  <c:v>340.25</c:v>
                </c:pt>
                <c:pt idx="447">
                  <c:v>339.8</c:v>
                </c:pt>
                <c:pt idx="448">
                  <c:v>340.75</c:v>
                </c:pt>
                <c:pt idx="449">
                  <c:v>340.3</c:v>
                </c:pt>
                <c:pt idx="450">
                  <c:v>340.05</c:v>
                </c:pt>
                <c:pt idx="451">
                  <c:v>342.3</c:v>
                </c:pt>
                <c:pt idx="452">
                  <c:v>340</c:v>
                </c:pt>
                <c:pt idx="453">
                  <c:v>339.55</c:v>
                </c:pt>
                <c:pt idx="454">
                  <c:v>337.15</c:v>
                </c:pt>
                <c:pt idx="455">
                  <c:v>336.75</c:v>
                </c:pt>
                <c:pt idx="456">
                  <c:v>337.3</c:v>
                </c:pt>
                <c:pt idx="457">
                  <c:v>340.1</c:v>
                </c:pt>
                <c:pt idx="458">
                  <c:v>338.4</c:v>
                </c:pt>
                <c:pt idx="459">
                  <c:v>341.4</c:v>
                </c:pt>
                <c:pt idx="460">
                  <c:v>343.2</c:v>
                </c:pt>
                <c:pt idx="461">
                  <c:v>345.6</c:v>
                </c:pt>
                <c:pt idx="462">
                  <c:v>345.4</c:v>
                </c:pt>
                <c:pt idx="463">
                  <c:v>338.85</c:v>
                </c:pt>
                <c:pt idx="464">
                  <c:v>335.1</c:v>
                </c:pt>
                <c:pt idx="465">
                  <c:v>340.5</c:v>
                </c:pt>
                <c:pt idx="466">
                  <c:v>340.15</c:v>
                </c:pt>
                <c:pt idx="467">
                  <c:v>335.15</c:v>
                </c:pt>
                <c:pt idx="468">
                  <c:v>332.45</c:v>
                </c:pt>
                <c:pt idx="469">
                  <c:v>326.7</c:v>
                </c:pt>
                <c:pt idx="470">
                  <c:v>334.6</c:v>
                </c:pt>
                <c:pt idx="471">
                  <c:v>333.15</c:v>
                </c:pt>
                <c:pt idx="472">
                  <c:v>334.4</c:v>
                </c:pt>
                <c:pt idx="473">
                  <c:v>335.35</c:v>
                </c:pt>
                <c:pt idx="474">
                  <c:v>331.55</c:v>
                </c:pt>
                <c:pt idx="475">
                  <c:v>332.85</c:v>
                </c:pt>
                <c:pt idx="476">
                  <c:v>331.1</c:v>
                </c:pt>
                <c:pt idx="477">
                  <c:v>327</c:v>
                </c:pt>
                <c:pt idx="478">
                  <c:v>333.45</c:v>
                </c:pt>
                <c:pt idx="479">
                  <c:v>335.05</c:v>
                </c:pt>
                <c:pt idx="480">
                  <c:v>338.05</c:v>
                </c:pt>
                <c:pt idx="481">
                  <c:v>333.4</c:v>
                </c:pt>
                <c:pt idx="482">
                  <c:v>331.8</c:v>
                </c:pt>
                <c:pt idx="483">
                  <c:v>329.85</c:v>
                </c:pt>
                <c:pt idx="484">
                  <c:v>328.75</c:v>
                </c:pt>
                <c:pt idx="485">
                  <c:v>330.2</c:v>
                </c:pt>
                <c:pt idx="486">
                  <c:v>332.25</c:v>
                </c:pt>
                <c:pt idx="487">
                  <c:v>334.65</c:v>
                </c:pt>
                <c:pt idx="488">
                  <c:v>332.15</c:v>
                </c:pt>
                <c:pt idx="489">
                  <c:v>334.6</c:v>
                </c:pt>
                <c:pt idx="490">
                  <c:v>337.75</c:v>
                </c:pt>
                <c:pt idx="491">
                  <c:v>338.95</c:v>
                </c:pt>
                <c:pt idx="492">
                  <c:v>339.25</c:v>
                </c:pt>
                <c:pt idx="493">
                  <c:v>346</c:v>
                </c:pt>
                <c:pt idx="494">
                  <c:v>344.8</c:v>
                </c:pt>
                <c:pt idx="495">
                  <c:v>352.35</c:v>
                </c:pt>
                <c:pt idx="496">
                  <c:v>361.4</c:v>
                </c:pt>
                <c:pt idx="497">
                  <c:v>378.6</c:v>
                </c:pt>
                <c:pt idx="498">
                  <c:v>380.65</c:v>
                </c:pt>
                <c:pt idx="499">
                  <c:v>383.4</c:v>
                </c:pt>
                <c:pt idx="500">
                  <c:v>373.25</c:v>
                </c:pt>
                <c:pt idx="501">
                  <c:v>375.55</c:v>
                </c:pt>
                <c:pt idx="502">
                  <c:v>374.25</c:v>
                </c:pt>
                <c:pt idx="503">
                  <c:v>371.35</c:v>
                </c:pt>
                <c:pt idx="504">
                  <c:v>374.2</c:v>
                </c:pt>
                <c:pt idx="505">
                  <c:v>386.45</c:v>
                </c:pt>
                <c:pt idx="506">
                  <c:v>382.2</c:v>
                </c:pt>
                <c:pt idx="507">
                  <c:v>382.55</c:v>
                </c:pt>
                <c:pt idx="508">
                  <c:v>383.4</c:v>
                </c:pt>
                <c:pt idx="509">
                  <c:v>384.05</c:v>
                </c:pt>
                <c:pt idx="510">
                  <c:v>382.25</c:v>
                </c:pt>
                <c:pt idx="511">
                  <c:v>383.85</c:v>
                </c:pt>
                <c:pt idx="512">
                  <c:v>387.6</c:v>
                </c:pt>
                <c:pt idx="513">
                  <c:v>385.1</c:v>
                </c:pt>
                <c:pt idx="514">
                  <c:v>382.2</c:v>
                </c:pt>
                <c:pt idx="515">
                  <c:v>376.7</c:v>
                </c:pt>
                <c:pt idx="516">
                  <c:v>378.7</c:v>
                </c:pt>
                <c:pt idx="517">
                  <c:v>375.55</c:v>
                </c:pt>
                <c:pt idx="518">
                  <c:v>384.95</c:v>
                </c:pt>
                <c:pt idx="519">
                  <c:v>388.15</c:v>
                </c:pt>
                <c:pt idx="520">
                  <c:v>392.4</c:v>
                </c:pt>
                <c:pt idx="521">
                  <c:v>387.5</c:v>
                </c:pt>
                <c:pt idx="522">
                  <c:v>388</c:v>
                </c:pt>
                <c:pt idx="523">
                  <c:v>383.65</c:v>
                </c:pt>
                <c:pt idx="524">
                  <c:v>379.7</c:v>
                </c:pt>
                <c:pt idx="525">
                  <c:v>379.4</c:v>
                </c:pt>
                <c:pt idx="526">
                  <c:v>381.45</c:v>
                </c:pt>
                <c:pt idx="527">
                  <c:v>375.55</c:v>
                </c:pt>
                <c:pt idx="528">
                  <c:v>378.8</c:v>
                </c:pt>
                <c:pt idx="529">
                  <c:v>376.95</c:v>
                </c:pt>
                <c:pt idx="530">
                  <c:v>377.75</c:v>
                </c:pt>
                <c:pt idx="531">
                  <c:v>380.65</c:v>
                </c:pt>
                <c:pt idx="532">
                  <c:v>378.7</c:v>
                </c:pt>
                <c:pt idx="533">
                  <c:v>380.2</c:v>
                </c:pt>
                <c:pt idx="534">
                  <c:v>379.75</c:v>
                </c:pt>
                <c:pt idx="535">
                  <c:v>382.75</c:v>
                </c:pt>
                <c:pt idx="536">
                  <c:v>383.5</c:v>
                </c:pt>
                <c:pt idx="537">
                  <c:v>378.9</c:v>
                </c:pt>
                <c:pt idx="538">
                  <c:v>386.4</c:v>
                </c:pt>
                <c:pt idx="539">
                  <c:v>387.35</c:v>
                </c:pt>
                <c:pt idx="540">
                  <c:v>388.55</c:v>
                </c:pt>
                <c:pt idx="541">
                  <c:v>396</c:v>
                </c:pt>
                <c:pt idx="542">
                  <c:v>393.55</c:v>
                </c:pt>
                <c:pt idx="543">
                  <c:v>395.6</c:v>
                </c:pt>
                <c:pt idx="544">
                  <c:v>400.15</c:v>
                </c:pt>
                <c:pt idx="545">
                  <c:v>398.5</c:v>
                </c:pt>
                <c:pt idx="546">
                  <c:v>398.75</c:v>
                </c:pt>
                <c:pt idx="547">
                  <c:v>400.3</c:v>
                </c:pt>
                <c:pt idx="548">
                  <c:v>408.25</c:v>
                </c:pt>
                <c:pt idx="549">
                  <c:v>408.7</c:v>
                </c:pt>
                <c:pt idx="550">
                  <c:v>411.55</c:v>
                </c:pt>
                <c:pt idx="551">
                  <c:v>412.25</c:v>
                </c:pt>
                <c:pt idx="552">
                  <c:v>416</c:v>
                </c:pt>
                <c:pt idx="553">
                  <c:v>425.55</c:v>
                </c:pt>
                <c:pt idx="554">
                  <c:v>424.45</c:v>
                </c:pt>
                <c:pt idx="555">
                  <c:v>427.15</c:v>
                </c:pt>
                <c:pt idx="556">
                  <c:v>424.6</c:v>
                </c:pt>
                <c:pt idx="557">
                  <c:v>428.75</c:v>
                </c:pt>
                <c:pt idx="558">
                  <c:v>431.45</c:v>
                </c:pt>
                <c:pt idx="559">
                  <c:v>423.8</c:v>
                </c:pt>
                <c:pt idx="560">
                  <c:v>425.35</c:v>
                </c:pt>
                <c:pt idx="561">
                  <c:v>420.4</c:v>
                </c:pt>
                <c:pt idx="562">
                  <c:v>420.45</c:v>
                </c:pt>
                <c:pt idx="563">
                  <c:v>427.8</c:v>
                </c:pt>
                <c:pt idx="564">
                  <c:v>423.95</c:v>
                </c:pt>
                <c:pt idx="565">
                  <c:v>427.6</c:v>
                </c:pt>
                <c:pt idx="566">
                  <c:v>419.7</c:v>
                </c:pt>
                <c:pt idx="567">
                  <c:v>419.85</c:v>
                </c:pt>
                <c:pt idx="568">
                  <c:v>424.75</c:v>
                </c:pt>
                <c:pt idx="569">
                  <c:v>429.15</c:v>
                </c:pt>
                <c:pt idx="570">
                  <c:v>433.5</c:v>
                </c:pt>
                <c:pt idx="571">
                  <c:v>441.15</c:v>
                </c:pt>
                <c:pt idx="572">
                  <c:v>443.6</c:v>
                </c:pt>
                <c:pt idx="573">
                  <c:v>449.1</c:v>
                </c:pt>
                <c:pt idx="574">
                  <c:v>449.9</c:v>
                </c:pt>
                <c:pt idx="575">
                  <c:v>445.5</c:v>
                </c:pt>
                <c:pt idx="576">
                  <c:v>439.7</c:v>
                </c:pt>
                <c:pt idx="577">
                  <c:v>443.4</c:v>
                </c:pt>
                <c:pt idx="578">
                  <c:v>440.65</c:v>
                </c:pt>
                <c:pt idx="579">
                  <c:v>442.8</c:v>
                </c:pt>
                <c:pt idx="580">
                  <c:v>443.95</c:v>
                </c:pt>
                <c:pt idx="581">
                  <c:v>442.9</c:v>
                </c:pt>
                <c:pt idx="582">
                  <c:v>438.45</c:v>
                </c:pt>
                <c:pt idx="583">
                  <c:v>436.95</c:v>
                </c:pt>
                <c:pt idx="584">
                  <c:v>445.4</c:v>
                </c:pt>
                <c:pt idx="585">
                  <c:v>444.5</c:v>
                </c:pt>
                <c:pt idx="586">
                  <c:v>448.1</c:v>
                </c:pt>
                <c:pt idx="587">
                  <c:v>453.1</c:v>
                </c:pt>
                <c:pt idx="588">
                  <c:v>453.6</c:v>
                </c:pt>
                <c:pt idx="589">
                  <c:v>452.85</c:v>
                </c:pt>
                <c:pt idx="590">
                  <c:v>447.05</c:v>
                </c:pt>
                <c:pt idx="591">
                  <c:v>447.65</c:v>
                </c:pt>
                <c:pt idx="592">
                  <c:v>444.75</c:v>
                </c:pt>
                <c:pt idx="593">
                  <c:v>445.7</c:v>
                </c:pt>
                <c:pt idx="594">
                  <c:v>445.1</c:v>
                </c:pt>
                <c:pt idx="595">
                  <c:v>449.35</c:v>
                </c:pt>
                <c:pt idx="596">
                  <c:v>451.6</c:v>
                </c:pt>
                <c:pt idx="597">
                  <c:v>463.25</c:v>
                </c:pt>
                <c:pt idx="598">
                  <c:v>466.35</c:v>
                </c:pt>
                <c:pt idx="599">
                  <c:v>475.1</c:v>
                </c:pt>
                <c:pt idx="600">
                  <c:v>473.9</c:v>
                </c:pt>
                <c:pt idx="601">
                  <c:v>468.4</c:v>
                </c:pt>
                <c:pt idx="602">
                  <c:v>465.85</c:v>
                </c:pt>
                <c:pt idx="603">
                  <c:v>473.15</c:v>
                </c:pt>
                <c:pt idx="604">
                  <c:v>472.3</c:v>
                </c:pt>
                <c:pt idx="605">
                  <c:v>472</c:v>
                </c:pt>
                <c:pt idx="606">
                  <c:v>472.9</c:v>
                </c:pt>
                <c:pt idx="607">
                  <c:v>472.35</c:v>
                </c:pt>
                <c:pt idx="608">
                  <c:v>472.5</c:v>
                </c:pt>
                <c:pt idx="609">
                  <c:v>478.85</c:v>
                </c:pt>
                <c:pt idx="610">
                  <c:v>492.15</c:v>
                </c:pt>
                <c:pt idx="611">
                  <c:v>490.45</c:v>
                </c:pt>
                <c:pt idx="612">
                  <c:v>471.35</c:v>
                </c:pt>
                <c:pt idx="613">
                  <c:v>462.3</c:v>
                </c:pt>
                <c:pt idx="614">
                  <c:v>472.25</c:v>
                </c:pt>
                <c:pt idx="615">
                  <c:v>465.05</c:v>
                </c:pt>
                <c:pt idx="616">
                  <c:v>468.45</c:v>
                </c:pt>
                <c:pt idx="617">
                  <c:v>465.7</c:v>
                </c:pt>
                <c:pt idx="618">
                  <c:v>464.8</c:v>
                </c:pt>
                <c:pt idx="619">
                  <c:v>460.1</c:v>
                </c:pt>
                <c:pt idx="620">
                  <c:v>456.05</c:v>
                </c:pt>
                <c:pt idx="621">
                  <c:v>454.95</c:v>
                </c:pt>
                <c:pt idx="622">
                  <c:v>454.9</c:v>
                </c:pt>
                <c:pt idx="623">
                  <c:v>452.35</c:v>
                </c:pt>
                <c:pt idx="624">
                  <c:v>458.65</c:v>
                </c:pt>
                <c:pt idx="625">
                  <c:v>451.75</c:v>
                </c:pt>
                <c:pt idx="626">
                  <c:v>448.75</c:v>
                </c:pt>
                <c:pt idx="627">
                  <c:v>449.2</c:v>
                </c:pt>
                <c:pt idx="628">
                  <c:v>450.25</c:v>
                </c:pt>
                <c:pt idx="629">
                  <c:v>441</c:v>
                </c:pt>
                <c:pt idx="630">
                  <c:v>441.65</c:v>
                </c:pt>
                <c:pt idx="631">
                  <c:v>447.8</c:v>
                </c:pt>
                <c:pt idx="632">
                  <c:v>454.25</c:v>
                </c:pt>
                <c:pt idx="633">
                  <c:v>450.45</c:v>
                </c:pt>
                <c:pt idx="634">
                  <c:v>450.9</c:v>
                </c:pt>
                <c:pt idx="635">
                  <c:v>443.35</c:v>
                </c:pt>
                <c:pt idx="636">
                  <c:v>441.4</c:v>
                </c:pt>
                <c:pt idx="637">
                  <c:v>440.1</c:v>
                </c:pt>
                <c:pt idx="638">
                  <c:v>442.8</c:v>
                </c:pt>
                <c:pt idx="639">
                  <c:v>439.7</c:v>
                </c:pt>
                <c:pt idx="640">
                  <c:v>441.05</c:v>
                </c:pt>
                <c:pt idx="641">
                  <c:v>437.5</c:v>
                </c:pt>
                <c:pt idx="642">
                  <c:v>443.1</c:v>
                </c:pt>
                <c:pt idx="643">
                  <c:v>447.45</c:v>
                </c:pt>
                <c:pt idx="644">
                  <c:v>445.9</c:v>
                </c:pt>
                <c:pt idx="645">
                  <c:v>442.65</c:v>
                </c:pt>
                <c:pt idx="646">
                  <c:v>447.2</c:v>
                </c:pt>
                <c:pt idx="647">
                  <c:v>451.15</c:v>
                </c:pt>
                <c:pt idx="648">
                  <c:v>453.5</c:v>
                </c:pt>
                <c:pt idx="649">
                  <c:v>449.95</c:v>
                </c:pt>
                <c:pt idx="650">
                  <c:v>448.35</c:v>
                </c:pt>
                <c:pt idx="651">
                  <c:v>452.05</c:v>
                </c:pt>
                <c:pt idx="652">
                  <c:v>452.95</c:v>
                </c:pt>
                <c:pt idx="653">
                  <c:v>447.5</c:v>
                </c:pt>
                <c:pt idx="654">
                  <c:v>443.1</c:v>
                </c:pt>
                <c:pt idx="655">
                  <c:v>442.6</c:v>
                </c:pt>
                <c:pt idx="656">
                  <c:v>442.45</c:v>
                </c:pt>
                <c:pt idx="657">
                  <c:v>449.15</c:v>
                </c:pt>
                <c:pt idx="658">
                  <c:v>440.75</c:v>
                </c:pt>
                <c:pt idx="659">
                  <c:v>444.4</c:v>
                </c:pt>
                <c:pt idx="660">
                  <c:v>439.75</c:v>
                </c:pt>
                <c:pt idx="661">
                  <c:v>436.1</c:v>
                </c:pt>
                <c:pt idx="662">
                  <c:v>436.05</c:v>
                </c:pt>
                <c:pt idx="663">
                  <c:v>442.15</c:v>
                </c:pt>
                <c:pt idx="664">
                  <c:v>440.45</c:v>
                </c:pt>
                <c:pt idx="665">
                  <c:v>444.4</c:v>
                </c:pt>
                <c:pt idx="666">
                  <c:v>448.25</c:v>
                </c:pt>
                <c:pt idx="667">
                  <c:v>450.7</c:v>
                </c:pt>
                <c:pt idx="668">
                  <c:v>448.35</c:v>
                </c:pt>
                <c:pt idx="669">
                  <c:v>448.95</c:v>
                </c:pt>
                <c:pt idx="670">
                  <c:v>453.45</c:v>
                </c:pt>
                <c:pt idx="671">
                  <c:v>451.65</c:v>
                </c:pt>
                <c:pt idx="672">
                  <c:v>450.4</c:v>
                </c:pt>
                <c:pt idx="673">
                  <c:v>438.3</c:v>
                </c:pt>
                <c:pt idx="674">
                  <c:v>435.9</c:v>
                </c:pt>
                <c:pt idx="675">
                  <c:v>432.7</c:v>
                </c:pt>
                <c:pt idx="676">
                  <c:v>434.35</c:v>
                </c:pt>
                <c:pt idx="677">
                  <c:v>433.75</c:v>
                </c:pt>
                <c:pt idx="678">
                  <c:v>430.45</c:v>
                </c:pt>
                <c:pt idx="679">
                  <c:v>428.4</c:v>
                </c:pt>
                <c:pt idx="680">
                  <c:v>428.1</c:v>
                </c:pt>
                <c:pt idx="681">
                  <c:v>431.15</c:v>
                </c:pt>
                <c:pt idx="682">
                  <c:v>433.25</c:v>
                </c:pt>
                <c:pt idx="683">
                  <c:v>435.35</c:v>
                </c:pt>
                <c:pt idx="684">
                  <c:v>432.7</c:v>
                </c:pt>
                <c:pt idx="685">
                  <c:v>436.95</c:v>
                </c:pt>
                <c:pt idx="686">
                  <c:v>434.4</c:v>
                </c:pt>
                <c:pt idx="687">
                  <c:v>436.55</c:v>
                </c:pt>
                <c:pt idx="688">
                  <c:v>436</c:v>
                </c:pt>
                <c:pt idx="689">
                  <c:v>441.95</c:v>
                </c:pt>
                <c:pt idx="690">
                  <c:v>438.65</c:v>
                </c:pt>
                <c:pt idx="691">
                  <c:v>439.25</c:v>
                </c:pt>
                <c:pt idx="692">
                  <c:v>436.8</c:v>
                </c:pt>
                <c:pt idx="693">
                  <c:v>436.25</c:v>
                </c:pt>
                <c:pt idx="694">
                  <c:v>439.7</c:v>
                </c:pt>
                <c:pt idx="695">
                  <c:v>440.35</c:v>
                </c:pt>
                <c:pt idx="696">
                  <c:v>437.8</c:v>
                </c:pt>
                <c:pt idx="697">
                  <c:v>435.25</c:v>
                </c:pt>
                <c:pt idx="698">
                  <c:v>437.2</c:v>
                </c:pt>
                <c:pt idx="699">
                  <c:v>435.8</c:v>
                </c:pt>
                <c:pt idx="700">
                  <c:v>449.8</c:v>
                </c:pt>
                <c:pt idx="701">
                  <c:v>454.05</c:v>
                </c:pt>
                <c:pt idx="702">
                  <c:v>451.75</c:v>
                </c:pt>
                <c:pt idx="703">
                  <c:v>463.25</c:v>
                </c:pt>
                <c:pt idx="704">
                  <c:v>458.1</c:v>
                </c:pt>
                <c:pt idx="705">
                  <c:v>449.15</c:v>
                </c:pt>
                <c:pt idx="706">
                  <c:v>452.45</c:v>
                </c:pt>
                <c:pt idx="707">
                  <c:v>453.1</c:v>
                </c:pt>
                <c:pt idx="708">
                  <c:v>455.65</c:v>
                </c:pt>
                <c:pt idx="709">
                  <c:v>460.1</c:v>
                </c:pt>
                <c:pt idx="710">
                  <c:v>458.2</c:v>
                </c:pt>
                <c:pt idx="711">
                  <c:v>451.65</c:v>
                </c:pt>
                <c:pt idx="712">
                  <c:v>456.1</c:v>
                </c:pt>
                <c:pt idx="713">
                  <c:v>451</c:v>
                </c:pt>
                <c:pt idx="714">
                  <c:v>451.45</c:v>
                </c:pt>
                <c:pt idx="715">
                  <c:v>455.2</c:v>
                </c:pt>
                <c:pt idx="716">
                  <c:v>456.45</c:v>
                </c:pt>
                <c:pt idx="717">
                  <c:v>457.1</c:v>
                </c:pt>
                <c:pt idx="718">
                  <c:v>464.1</c:v>
                </c:pt>
                <c:pt idx="719">
                  <c:v>462.1</c:v>
                </c:pt>
                <c:pt idx="720">
                  <c:v>468.05</c:v>
                </c:pt>
                <c:pt idx="721">
                  <c:v>470.35</c:v>
                </c:pt>
                <c:pt idx="722">
                  <c:v>477.25</c:v>
                </c:pt>
                <c:pt idx="723">
                  <c:v>476.4</c:v>
                </c:pt>
                <c:pt idx="724">
                  <c:v>473.95</c:v>
                </c:pt>
                <c:pt idx="725">
                  <c:v>465.5</c:v>
                </c:pt>
                <c:pt idx="726">
                  <c:v>464.55</c:v>
                </c:pt>
                <c:pt idx="727">
                  <c:v>463.3</c:v>
                </c:pt>
                <c:pt idx="728">
                  <c:v>462.65</c:v>
                </c:pt>
                <c:pt idx="729">
                  <c:v>466.7</c:v>
                </c:pt>
                <c:pt idx="730">
                  <c:v>467.6</c:v>
                </c:pt>
                <c:pt idx="731">
                  <c:v>472.3</c:v>
                </c:pt>
                <c:pt idx="732">
                  <c:v>466.6</c:v>
                </c:pt>
                <c:pt idx="733">
                  <c:v>465.5</c:v>
                </c:pt>
                <c:pt idx="734">
                  <c:v>471.5</c:v>
                </c:pt>
                <c:pt idx="735">
                  <c:v>459.3</c:v>
                </c:pt>
                <c:pt idx="736">
                  <c:v>463.6</c:v>
                </c:pt>
                <c:pt idx="737">
                  <c:v>455.65</c:v>
                </c:pt>
                <c:pt idx="738">
                  <c:v>449.8</c:v>
                </c:pt>
                <c:pt idx="739">
                  <c:v>438.05</c:v>
                </c:pt>
                <c:pt idx="740">
                  <c:v>441.55</c:v>
                </c:pt>
                <c:pt idx="741">
                  <c:v>442.9</c:v>
                </c:pt>
                <c:pt idx="742">
                  <c:v>440.1</c:v>
                </c:pt>
                <c:pt idx="743">
                  <c:v>438.05</c:v>
                </c:pt>
                <c:pt idx="744">
                  <c:v>431.4</c:v>
                </c:pt>
                <c:pt idx="745">
                  <c:v>431.8</c:v>
                </c:pt>
                <c:pt idx="746">
                  <c:v>414.55</c:v>
                </c:pt>
                <c:pt idx="747">
                  <c:v>415.5</c:v>
                </c:pt>
                <c:pt idx="748">
                  <c:v>406.85</c:v>
                </c:pt>
                <c:pt idx="749">
                  <c:v>406.75</c:v>
                </c:pt>
                <c:pt idx="750">
                  <c:v>411.55</c:v>
                </c:pt>
                <c:pt idx="751">
                  <c:v>403.9</c:v>
                </c:pt>
                <c:pt idx="752">
                  <c:v>404.6</c:v>
                </c:pt>
                <c:pt idx="753">
                  <c:v>409.25</c:v>
                </c:pt>
                <c:pt idx="754">
                  <c:v>406.1</c:v>
                </c:pt>
                <c:pt idx="755">
                  <c:v>403.35</c:v>
                </c:pt>
                <c:pt idx="756">
                  <c:v>414.45</c:v>
                </c:pt>
                <c:pt idx="757">
                  <c:v>411.4</c:v>
                </c:pt>
                <c:pt idx="758">
                  <c:v>409.2</c:v>
                </c:pt>
                <c:pt idx="759">
                  <c:v>411.15</c:v>
                </c:pt>
                <c:pt idx="760">
                  <c:v>408.3</c:v>
                </c:pt>
                <c:pt idx="761">
                  <c:v>406.3</c:v>
                </c:pt>
                <c:pt idx="762">
                  <c:v>409.5</c:v>
                </c:pt>
                <c:pt idx="763">
                  <c:v>409.1</c:v>
                </c:pt>
                <c:pt idx="764">
                  <c:v>406.15</c:v>
                </c:pt>
                <c:pt idx="765">
                  <c:v>407.85</c:v>
                </c:pt>
                <c:pt idx="766">
                  <c:v>413.55</c:v>
                </c:pt>
                <c:pt idx="767">
                  <c:v>409.4</c:v>
                </c:pt>
                <c:pt idx="768">
                  <c:v>404.45</c:v>
                </c:pt>
                <c:pt idx="769">
                  <c:v>422.45</c:v>
                </c:pt>
                <c:pt idx="770">
                  <c:v>419.65</c:v>
                </c:pt>
                <c:pt idx="771">
                  <c:v>419.1</c:v>
                </c:pt>
                <c:pt idx="772">
                  <c:v>417.45</c:v>
                </c:pt>
                <c:pt idx="773">
                  <c:v>409.55</c:v>
                </c:pt>
                <c:pt idx="774">
                  <c:v>415.7</c:v>
                </c:pt>
                <c:pt idx="775">
                  <c:v>421.25</c:v>
                </c:pt>
                <c:pt idx="776">
                  <c:v>428.6</c:v>
                </c:pt>
                <c:pt idx="777">
                  <c:v>427.65</c:v>
                </c:pt>
                <c:pt idx="778">
                  <c:v>428</c:v>
                </c:pt>
                <c:pt idx="779">
                  <c:v>428.35</c:v>
                </c:pt>
                <c:pt idx="780">
                  <c:v>426.7</c:v>
                </c:pt>
                <c:pt idx="781">
                  <c:v>425.85</c:v>
                </c:pt>
                <c:pt idx="782">
                  <c:v>425.2</c:v>
                </c:pt>
                <c:pt idx="783">
                  <c:v>422.75</c:v>
                </c:pt>
                <c:pt idx="784">
                  <c:v>427.55</c:v>
                </c:pt>
                <c:pt idx="785">
                  <c:v>429.1</c:v>
                </c:pt>
                <c:pt idx="786">
                  <c:v>426.35</c:v>
                </c:pt>
                <c:pt idx="787">
                  <c:v>436.95</c:v>
                </c:pt>
                <c:pt idx="788">
                  <c:v>430.1</c:v>
                </c:pt>
                <c:pt idx="789">
                  <c:v>425.9</c:v>
                </c:pt>
                <c:pt idx="790">
                  <c:v>425.9</c:v>
                </c:pt>
                <c:pt idx="791">
                  <c:v>418.85</c:v>
                </c:pt>
                <c:pt idx="792">
                  <c:v>424.75</c:v>
                </c:pt>
                <c:pt idx="793">
                  <c:v>425.3</c:v>
                </c:pt>
                <c:pt idx="794">
                  <c:v>429.2</c:v>
                </c:pt>
                <c:pt idx="795">
                  <c:v>428.9</c:v>
                </c:pt>
                <c:pt idx="796">
                  <c:v>437.55</c:v>
                </c:pt>
                <c:pt idx="797">
                  <c:v>440</c:v>
                </c:pt>
                <c:pt idx="798">
                  <c:v>438.2</c:v>
                </c:pt>
                <c:pt idx="799">
                  <c:v>435.65</c:v>
                </c:pt>
                <c:pt idx="800">
                  <c:v>439</c:v>
                </c:pt>
                <c:pt idx="801">
                  <c:v>436.45</c:v>
                </c:pt>
                <c:pt idx="802">
                  <c:v>434.75</c:v>
                </c:pt>
                <c:pt idx="803">
                  <c:v>440.35</c:v>
                </c:pt>
                <c:pt idx="804">
                  <c:v>441</c:v>
                </c:pt>
                <c:pt idx="805">
                  <c:v>425.1</c:v>
                </c:pt>
                <c:pt idx="806">
                  <c:v>433.35</c:v>
                </c:pt>
                <c:pt idx="807">
                  <c:v>431.85</c:v>
                </c:pt>
                <c:pt idx="808">
                  <c:v>429.7</c:v>
                </c:pt>
                <c:pt idx="809">
                  <c:v>427.8</c:v>
                </c:pt>
                <c:pt idx="810">
                  <c:v>431.45</c:v>
                </c:pt>
                <c:pt idx="811">
                  <c:v>436.3</c:v>
                </c:pt>
                <c:pt idx="812">
                  <c:v>434.8</c:v>
                </c:pt>
                <c:pt idx="813">
                  <c:v>439.9</c:v>
                </c:pt>
                <c:pt idx="814">
                  <c:v>441.35</c:v>
                </c:pt>
                <c:pt idx="815">
                  <c:v>436.2</c:v>
                </c:pt>
                <c:pt idx="816">
                  <c:v>431.5</c:v>
                </c:pt>
                <c:pt idx="817">
                  <c:v>429</c:v>
                </c:pt>
                <c:pt idx="818">
                  <c:v>430.95</c:v>
                </c:pt>
                <c:pt idx="819">
                  <c:v>423.85</c:v>
                </c:pt>
                <c:pt idx="820">
                  <c:v>426.45</c:v>
                </c:pt>
                <c:pt idx="821">
                  <c:v>430.35</c:v>
                </c:pt>
                <c:pt idx="822">
                  <c:v>415.2</c:v>
                </c:pt>
                <c:pt idx="823">
                  <c:v>430.3</c:v>
                </c:pt>
                <c:pt idx="824">
                  <c:v>435.4</c:v>
                </c:pt>
                <c:pt idx="825">
                  <c:v>439.15</c:v>
                </c:pt>
                <c:pt idx="826">
                  <c:v>436.9</c:v>
                </c:pt>
                <c:pt idx="827">
                  <c:v>433</c:v>
                </c:pt>
                <c:pt idx="828">
                  <c:v>432.3</c:v>
                </c:pt>
                <c:pt idx="829">
                  <c:v>430.3</c:v>
                </c:pt>
                <c:pt idx="830">
                  <c:v>431.15</c:v>
                </c:pt>
                <c:pt idx="831">
                  <c:v>428.75</c:v>
                </c:pt>
                <c:pt idx="832">
                  <c:v>423.65</c:v>
                </c:pt>
                <c:pt idx="833">
                  <c:v>423.3</c:v>
                </c:pt>
                <c:pt idx="834">
                  <c:v>419.6</c:v>
                </c:pt>
                <c:pt idx="835">
                  <c:v>423.3</c:v>
                </c:pt>
                <c:pt idx="836">
                  <c:v>423.3</c:v>
                </c:pt>
                <c:pt idx="837">
                  <c:v>423.95</c:v>
                </c:pt>
                <c:pt idx="838">
                  <c:v>425.6</c:v>
                </c:pt>
                <c:pt idx="839">
                  <c:v>424.9</c:v>
                </c:pt>
                <c:pt idx="840">
                  <c:v>429.05</c:v>
                </c:pt>
                <c:pt idx="841">
                  <c:v>425.5</c:v>
                </c:pt>
                <c:pt idx="842">
                  <c:v>428.3</c:v>
                </c:pt>
                <c:pt idx="843">
                  <c:v>429.05</c:v>
                </c:pt>
                <c:pt idx="844">
                  <c:v>433.65</c:v>
                </c:pt>
                <c:pt idx="845">
                  <c:v>443.6</c:v>
                </c:pt>
                <c:pt idx="846">
                  <c:v>452.6</c:v>
                </c:pt>
                <c:pt idx="847">
                  <c:v>451.45</c:v>
                </c:pt>
                <c:pt idx="848">
                  <c:v>458.65</c:v>
                </c:pt>
                <c:pt idx="849">
                  <c:v>459.05</c:v>
                </c:pt>
                <c:pt idx="850">
                  <c:v>463.4</c:v>
                </c:pt>
                <c:pt idx="851">
                  <c:v>465.55</c:v>
                </c:pt>
                <c:pt idx="852">
                  <c:v>470.25</c:v>
                </c:pt>
                <c:pt idx="853">
                  <c:v>474.55</c:v>
                </c:pt>
                <c:pt idx="854">
                  <c:v>466.55</c:v>
                </c:pt>
                <c:pt idx="855">
                  <c:v>492.2</c:v>
                </c:pt>
                <c:pt idx="856">
                  <c:v>494.05</c:v>
                </c:pt>
                <c:pt idx="857">
                  <c:v>489.95</c:v>
                </c:pt>
                <c:pt idx="858">
                  <c:v>502.2</c:v>
                </c:pt>
                <c:pt idx="859">
                  <c:v>496.05</c:v>
                </c:pt>
                <c:pt idx="860">
                  <c:v>489.9</c:v>
                </c:pt>
                <c:pt idx="861">
                  <c:v>495.35</c:v>
                </c:pt>
                <c:pt idx="862">
                  <c:v>493.7</c:v>
                </c:pt>
                <c:pt idx="863">
                  <c:v>489.1</c:v>
                </c:pt>
                <c:pt idx="864">
                  <c:v>486</c:v>
                </c:pt>
                <c:pt idx="865">
                  <c:v>486.3</c:v>
                </c:pt>
                <c:pt idx="866">
                  <c:v>492.65</c:v>
                </c:pt>
                <c:pt idx="867">
                  <c:v>494.75</c:v>
                </c:pt>
                <c:pt idx="868">
                  <c:v>495.9</c:v>
                </c:pt>
                <c:pt idx="869">
                  <c:v>494.6</c:v>
                </c:pt>
                <c:pt idx="870">
                  <c:v>490</c:v>
                </c:pt>
                <c:pt idx="871">
                  <c:v>492.2</c:v>
                </c:pt>
                <c:pt idx="872">
                  <c:v>502.65</c:v>
                </c:pt>
                <c:pt idx="873">
                  <c:v>501.45</c:v>
                </c:pt>
                <c:pt idx="874">
                  <c:v>498.8</c:v>
                </c:pt>
                <c:pt idx="875">
                  <c:v>505.4</c:v>
                </c:pt>
                <c:pt idx="876">
                  <c:v>504.55</c:v>
                </c:pt>
                <c:pt idx="877">
                  <c:v>505.8</c:v>
                </c:pt>
                <c:pt idx="878">
                  <c:v>505.7</c:v>
                </c:pt>
                <c:pt idx="879">
                  <c:v>500.6</c:v>
                </c:pt>
                <c:pt idx="880">
                  <c:v>497.3</c:v>
                </c:pt>
                <c:pt idx="881">
                  <c:v>505.1</c:v>
                </c:pt>
                <c:pt idx="882">
                  <c:v>501.9</c:v>
                </c:pt>
                <c:pt idx="883">
                  <c:v>510.05</c:v>
                </c:pt>
                <c:pt idx="884">
                  <c:v>509.4</c:v>
                </c:pt>
                <c:pt idx="885">
                  <c:v>506.35</c:v>
                </c:pt>
                <c:pt idx="886">
                  <c:v>511.2</c:v>
                </c:pt>
                <c:pt idx="887">
                  <c:v>501.7</c:v>
                </c:pt>
                <c:pt idx="888">
                  <c:v>511.75</c:v>
                </c:pt>
                <c:pt idx="889">
                  <c:v>513.6</c:v>
                </c:pt>
                <c:pt idx="890">
                  <c:v>514.35</c:v>
                </c:pt>
                <c:pt idx="891">
                  <c:v>519.5</c:v>
                </c:pt>
                <c:pt idx="892">
                  <c:v>513.85</c:v>
                </c:pt>
                <c:pt idx="893">
                  <c:v>511.1</c:v>
                </c:pt>
                <c:pt idx="894">
                  <c:v>507.75</c:v>
                </c:pt>
                <c:pt idx="895">
                  <c:v>507.35</c:v>
                </c:pt>
                <c:pt idx="896">
                  <c:v>508.25</c:v>
                </c:pt>
                <c:pt idx="897">
                  <c:v>514.4</c:v>
                </c:pt>
                <c:pt idx="898">
                  <c:v>516.95000000000005</c:v>
                </c:pt>
                <c:pt idx="899">
                  <c:v>515.25</c:v>
                </c:pt>
                <c:pt idx="900">
                  <c:v>517.54999999999995</c:v>
                </c:pt>
                <c:pt idx="901">
                  <c:v>522.75</c:v>
                </c:pt>
                <c:pt idx="902">
                  <c:v>522.70000000000005</c:v>
                </c:pt>
                <c:pt idx="903">
                  <c:v>518.15</c:v>
                </c:pt>
                <c:pt idx="904">
                  <c:v>516.20000000000005</c:v>
                </c:pt>
                <c:pt idx="905">
                  <c:v>512.75</c:v>
                </c:pt>
                <c:pt idx="906">
                  <c:v>503.55</c:v>
                </c:pt>
                <c:pt idx="907">
                  <c:v>510.2</c:v>
                </c:pt>
                <c:pt idx="908">
                  <c:v>507.95</c:v>
                </c:pt>
                <c:pt idx="909">
                  <c:v>491.7</c:v>
                </c:pt>
                <c:pt idx="910">
                  <c:v>492.05</c:v>
                </c:pt>
                <c:pt idx="911">
                  <c:v>488.2</c:v>
                </c:pt>
                <c:pt idx="912">
                  <c:v>496.95</c:v>
                </c:pt>
                <c:pt idx="913">
                  <c:v>498.55</c:v>
                </c:pt>
                <c:pt idx="914">
                  <c:v>493.2</c:v>
                </c:pt>
                <c:pt idx="915">
                  <c:v>488.9</c:v>
                </c:pt>
                <c:pt idx="916">
                  <c:v>486.7</c:v>
                </c:pt>
                <c:pt idx="917">
                  <c:v>483.65</c:v>
                </c:pt>
                <c:pt idx="918">
                  <c:v>481.8</c:v>
                </c:pt>
                <c:pt idx="919">
                  <c:v>480.35</c:v>
                </c:pt>
                <c:pt idx="920">
                  <c:v>471.7</c:v>
                </c:pt>
                <c:pt idx="921">
                  <c:v>482.3</c:v>
                </c:pt>
                <c:pt idx="922">
                  <c:v>484.15</c:v>
                </c:pt>
                <c:pt idx="923">
                  <c:v>487.95</c:v>
                </c:pt>
                <c:pt idx="924">
                  <c:v>491.55</c:v>
                </c:pt>
                <c:pt idx="925">
                  <c:v>488.8</c:v>
                </c:pt>
                <c:pt idx="926">
                  <c:v>484.6</c:v>
                </c:pt>
                <c:pt idx="927">
                  <c:v>480.2</c:v>
                </c:pt>
                <c:pt idx="928">
                  <c:v>481.1</c:v>
                </c:pt>
                <c:pt idx="929">
                  <c:v>477.9</c:v>
                </c:pt>
                <c:pt idx="930">
                  <c:v>478.05</c:v>
                </c:pt>
                <c:pt idx="931">
                  <c:v>476.95</c:v>
                </c:pt>
                <c:pt idx="932">
                  <c:v>472.85</c:v>
                </c:pt>
                <c:pt idx="933">
                  <c:v>472.2</c:v>
                </c:pt>
                <c:pt idx="934">
                  <c:v>465.95</c:v>
                </c:pt>
                <c:pt idx="935">
                  <c:v>466.55</c:v>
                </c:pt>
                <c:pt idx="936">
                  <c:v>467.35</c:v>
                </c:pt>
                <c:pt idx="937">
                  <c:v>457.15</c:v>
                </c:pt>
                <c:pt idx="938">
                  <c:v>474.65</c:v>
                </c:pt>
                <c:pt idx="939">
                  <c:v>476.8</c:v>
                </c:pt>
                <c:pt idx="940">
                  <c:v>477</c:v>
                </c:pt>
                <c:pt idx="941">
                  <c:v>476.95</c:v>
                </c:pt>
                <c:pt idx="942">
                  <c:v>474.9</c:v>
                </c:pt>
                <c:pt idx="943">
                  <c:v>476.75</c:v>
                </c:pt>
                <c:pt idx="944">
                  <c:v>477.2</c:v>
                </c:pt>
                <c:pt idx="945">
                  <c:v>472.55</c:v>
                </c:pt>
                <c:pt idx="946">
                  <c:v>467.1</c:v>
                </c:pt>
                <c:pt idx="947">
                  <c:v>467.5</c:v>
                </c:pt>
                <c:pt idx="948">
                  <c:v>471.15</c:v>
                </c:pt>
                <c:pt idx="949">
                  <c:v>464.95</c:v>
                </c:pt>
                <c:pt idx="950">
                  <c:v>465.45</c:v>
                </c:pt>
                <c:pt idx="951">
                  <c:v>465.25</c:v>
                </c:pt>
                <c:pt idx="952">
                  <c:v>460.6</c:v>
                </c:pt>
                <c:pt idx="953">
                  <c:v>470</c:v>
                </c:pt>
                <c:pt idx="954">
                  <c:v>470.1</c:v>
                </c:pt>
                <c:pt idx="955">
                  <c:v>469.55</c:v>
                </c:pt>
                <c:pt idx="956">
                  <c:v>470.5</c:v>
                </c:pt>
                <c:pt idx="957">
                  <c:v>466.55</c:v>
                </c:pt>
                <c:pt idx="958">
                  <c:v>464.65</c:v>
                </c:pt>
                <c:pt idx="959">
                  <c:v>474.25</c:v>
                </c:pt>
                <c:pt idx="960">
                  <c:v>478.45</c:v>
                </c:pt>
                <c:pt idx="961">
                  <c:v>476.95</c:v>
                </c:pt>
                <c:pt idx="962">
                  <c:v>478.6</c:v>
                </c:pt>
                <c:pt idx="963">
                  <c:v>477</c:v>
                </c:pt>
                <c:pt idx="964">
                  <c:v>483.65</c:v>
                </c:pt>
                <c:pt idx="965">
                  <c:v>483.95</c:v>
                </c:pt>
                <c:pt idx="966">
                  <c:v>489.05</c:v>
                </c:pt>
                <c:pt idx="967">
                  <c:v>481.6</c:v>
                </c:pt>
                <c:pt idx="968">
                  <c:v>442.65</c:v>
                </c:pt>
                <c:pt idx="969">
                  <c:v>441.1</c:v>
                </c:pt>
                <c:pt idx="970">
                  <c:v>449.55</c:v>
                </c:pt>
                <c:pt idx="971">
                  <c:v>450.1</c:v>
                </c:pt>
                <c:pt idx="972">
                  <c:v>444.9</c:v>
                </c:pt>
                <c:pt idx="973">
                  <c:v>439.05</c:v>
                </c:pt>
                <c:pt idx="974">
                  <c:v>436.6</c:v>
                </c:pt>
                <c:pt idx="975">
                  <c:v>437.35</c:v>
                </c:pt>
                <c:pt idx="976">
                  <c:v>432.85</c:v>
                </c:pt>
                <c:pt idx="977">
                  <c:v>440.2</c:v>
                </c:pt>
                <c:pt idx="978">
                  <c:v>437.7</c:v>
                </c:pt>
                <c:pt idx="979">
                  <c:v>437.55</c:v>
                </c:pt>
                <c:pt idx="980">
                  <c:v>437</c:v>
                </c:pt>
                <c:pt idx="981">
                  <c:v>440.2</c:v>
                </c:pt>
                <c:pt idx="982">
                  <c:v>441.6</c:v>
                </c:pt>
                <c:pt idx="983">
                  <c:v>440.1</c:v>
                </c:pt>
                <c:pt idx="984">
                  <c:v>435.45</c:v>
                </c:pt>
                <c:pt idx="985">
                  <c:v>433.35</c:v>
                </c:pt>
                <c:pt idx="986">
                  <c:v>436.2</c:v>
                </c:pt>
                <c:pt idx="987">
                  <c:v>447.5</c:v>
                </c:pt>
                <c:pt idx="988">
                  <c:v>454.35</c:v>
                </c:pt>
                <c:pt idx="989">
                  <c:v>455.15</c:v>
                </c:pt>
                <c:pt idx="990">
                  <c:v>448.15</c:v>
                </c:pt>
                <c:pt idx="991">
                  <c:v>441.1</c:v>
                </c:pt>
                <c:pt idx="992">
                  <c:v>430.85</c:v>
                </c:pt>
                <c:pt idx="993">
                  <c:v>427.2</c:v>
                </c:pt>
                <c:pt idx="994">
                  <c:v>418.3</c:v>
                </c:pt>
                <c:pt idx="995">
                  <c:v>409.9</c:v>
                </c:pt>
                <c:pt idx="996">
                  <c:v>409.7</c:v>
                </c:pt>
                <c:pt idx="997">
                  <c:v>410.25</c:v>
                </c:pt>
                <c:pt idx="998">
                  <c:v>408.6</c:v>
                </c:pt>
                <c:pt idx="999">
                  <c:v>405.25</c:v>
                </c:pt>
                <c:pt idx="1000">
                  <c:v>406.4</c:v>
                </c:pt>
                <c:pt idx="1001">
                  <c:v>402.05</c:v>
                </c:pt>
                <c:pt idx="1002">
                  <c:v>400.9</c:v>
                </c:pt>
                <c:pt idx="1003">
                  <c:v>401.9</c:v>
                </c:pt>
                <c:pt idx="1004">
                  <c:v>404.85</c:v>
                </c:pt>
                <c:pt idx="1005">
                  <c:v>401.6</c:v>
                </c:pt>
                <c:pt idx="1006">
                  <c:v>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F-44F2-88B5-47E8E1DB8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771632"/>
        <c:axId val="669778112"/>
      </c:lineChart>
      <c:dateAx>
        <c:axId val="66977163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778112"/>
        <c:crosses val="autoZero"/>
        <c:auto val="1"/>
        <c:lblOffset val="100"/>
        <c:baseTimeUnit val="days"/>
      </c:dateAx>
      <c:valAx>
        <c:axId val="669778112"/>
        <c:scaling>
          <c:orientation val="minMax"/>
          <c:max val="600"/>
          <c:min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771632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Sheet2!$A$2:$A$1008</c:f>
              <c:numCache>
                <c:formatCode>m/d/yyyy</c:formatCode>
                <c:ptCount val="1007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44235</c:v>
                </c:pt>
                <c:pt idx="6">
                  <c:v>44236</c:v>
                </c:pt>
                <c:pt idx="7">
                  <c:v>44237</c:v>
                </c:pt>
                <c:pt idx="8">
                  <c:v>44238</c:v>
                </c:pt>
                <c:pt idx="9">
                  <c:v>44239</c:v>
                </c:pt>
                <c:pt idx="10">
                  <c:v>44242</c:v>
                </c:pt>
                <c:pt idx="11">
                  <c:v>44243</c:v>
                </c:pt>
                <c:pt idx="12">
                  <c:v>44244</c:v>
                </c:pt>
                <c:pt idx="13">
                  <c:v>44245</c:v>
                </c:pt>
                <c:pt idx="14">
                  <c:v>44246</c:v>
                </c:pt>
                <c:pt idx="15">
                  <c:v>44249</c:v>
                </c:pt>
                <c:pt idx="16">
                  <c:v>44250</c:v>
                </c:pt>
                <c:pt idx="17">
                  <c:v>44251</c:v>
                </c:pt>
                <c:pt idx="18">
                  <c:v>44252</c:v>
                </c:pt>
                <c:pt idx="19">
                  <c:v>44253</c:v>
                </c:pt>
                <c:pt idx="20">
                  <c:v>44256</c:v>
                </c:pt>
                <c:pt idx="21">
                  <c:v>44257</c:v>
                </c:pt>
                <c:pt idx="22">
                  <c:v>44258</c:v>
                </c:pt>
                <c:pt idx="23">
                  <c:v>44259</c:v>
                </c:pt>
                <c:pt idx="24">
                  <c:v>44260</c:v>
                </c:pt>
                <c:pt idx="25">
                  <c:v>44263</c:v>
                </c:pt>
                <c:pt idx="26">
                  <c:v>44264</c:v>
                </c:pt>
                <c:pt idx="27">
                  <c:v>44265</c:v>
                </c:pt>
                <c:pt idx="28">
                  <c:v>44267</c:v>
                </c:pt>
                <c:pt idx="29">
                  <c:v>44270</c:v>
                </c:pt>
                <c:pt idx="30">
                  <c:v>44271</c:v>
                </c:pt>
                <c:pt idx="31">
                  <c:v>44272</c:v>
                </c:pt>
                <c:pt idx="32">
                  <c:v>44273</c:v>
                </c:pt>
                <c:pt idx="33">
                  <c:v>44274</c:v>
                </c:pt>
                <c:pt idx="34">
                  <c:v>44277</c:v>
                </c:pt>
                <c:pt idx="35">
                  <c:v>44278</c:v>
                </c:pt>
                <c:pt idx="36">
                  <c:v>44279</c:v>
                </c:pt>
                <c:pt idx="37">
                  <c:v>44280</c:v>
                </c:pt>
                <c:pt idx="38">
                  <c:v>44281</c:v>
                </c:pt>
                <c:pt idx="39">
                  <c:v>44285</c:v>
                </c:pt>
                <c:pt idx="40">
                  <c:v>44286</c:v>
                </c:pt>
                <c:pt idx="41">
                  <c:v>44287</c:v>
                </c:pt>
                <c:pt idx="42">
                  <c:v>44291</c:v>
                </c:pt>
                <c:pt idx="43">
                  <c:v>44292</c:v>
                </c:pt>
                <c:pt idx="44">
                  <c:v>44293</c:v>
                </c:pt>
                <c:pt idx="45">
                  <c:v>44294</c:v>
                </c:pt>
                <c:pt idx="46">
                  <c:v>44295</c:v>
                </c:pt>
                <c:pt idx="47">
                  <c:v>44298</c:v>
                </c:pt>
                <c:pt idx="48">
                  <c:v>44299</c:v>
                </c:pt>
                <c:pt idx="49">
                  <c:v>44301</c:v>
                </c:pt>
                <c:pt idx="50">
                  <c:v>44302</c:v>
                </c:pt>
                <c:pt idx="51">
                  <c:v>44305</c:v>
                </c:pt>
                <c:pt idx="52">
                  <c:v>44306</c:v>
                </c:pt>
                <c:pt idx="53">
                  <c:v>44308</c:v>
                </c:pt>
                <c:pt idx="54">
                  <c:v>44309</c:v>
                </c:pt>
                <c:pt idx="55">
                  <c:v>44312</c:v>
                </c:pt>
                <c:pt idx="56">
                  <c:v>44313</c:v>
                </c:pt>
                <c:pt idx="57">
                  <c:v>44314</c:v>
                </c:pt>
                <c:pt idx="58">
                  <c:v>44315</c:v>
                </c:pt>
                <c:pt idx="59">
                  <c:v>44316</c:v>
                </c:pt>
                <c:pt idx="60">
                  <c:v>44319</c:v>
                </c:pt>
                <c:pt idx="61">
                  <c:v>44320</c:v>
                </c:pt>
                <c:pt idx="62">
                  <c:v>44321</c:v>
                </c:pt>
                <c:pt idx="63">
                  <c:v>44322</c:v>
                </c:pt>
                <c:pt idx="64">
                  <c:v>44323</c:v>
                </c:pt>
                <c:pt idx="65">
                  <c:v>44326</c:v>
                </c:pt>
                <c:pt idx="66">
                  <c:v>44327</c:v>
                </c:pt>
                <c:pt idx="67">
                  <c:v>44328</c:v>
                </c:pt>
                <c:pt idx="68">
                  <c:v>44330</c:v>
                </c:pt>
                <c:pt idx="69">
                  <c:v>44333</c:v>
                </c:pt>
                <c:pt idx="70">
                  <c:v>44334</c:v>
                </c:pt>
                <c:pt idx="71">
                  <c:v>44335</c:v>
                </c:pt>
                <c:pt idx="72">
                  <c:v>44336</c:v>
                </c:pt>
                <c:pt idx="73">
                  <c:v>44337</c:v>
                </c:pt>
                <c:pt idx="74">
                  <c:v>44340</c:v>
                </c:pt>
                <c:pt idx="75">
                  <c:v>44341</c:v>
                </c:pt>
                <c:pt idx="76">
                  <c:v>44342</c:v>
                </c:pt>
                <c:pt idx="77">
                  <c:v>44343</c:v>
                </c:pt>
                <c:pt idx="78">
                  <c:v>44344</c:v>
                </c:pt>
                <c:pt idx="79">
                  <c:v>44347</c:v>
                </c:pt>
                <c:pt idx="80">
                  <c:v>44348</c:v>
                </c:pt>
                <c:pt idx="81">
                  <c:v>44349</c:v>
                </c:pt>
                <c:pt idx="82">
                  <c:v>44350</c:v>
                </c:pt>
                <c:pt idx="83">
                  <c:v>44351</c:v>
                </c:pt>
                <c:pt idx="84">
                  <c:v>44354</c:v>
                </c:pt>
                <c:pt idx="85">
                  <c:v>44355</c:v>
                </c:pt>
                <c:pt idx="86">
                  <c:v>44356</c:v>
                </c:pt>
                <c:pt idx="87">
                  <c:v>44357</c:v>
                </c:pt>
                <c:pt idx="88">
                  <c:v>44358</c:v>
                </c:pt>
                <c:pt idx="89">
                  <c:v>44361</c:v>
                </c:pt>
                <c:pt idx="90">
                  <c:v>44362</c:v>
                </c:pt>
                <c:pt idx="91">
                  <c:v>44363</c:v>
                </c:pt>
                <c:pt idx="92">
                  <c:v>44364</c:v>
                </c:pt>
                <c:pt idx="93">
                  <c:v>44365</c:v>
                </c:pt>
                <c:pt idx="94">
                  <c:v>44368</c:v>
                </c:pt>
                <c:pt idx="95">
                  <c:v>44369</c:v>
                </c:pt>
                <c:pt idx="96">
                  <c:v>44370</c:v>
                </c:pt>
                <c:pt idx="97">
                  <c:v>44371</c:v>
                </c:pt>
                <c:pt idx="98">
                  <c:v>44372</c:v>
                </c:pt>
                <c:pt idx="99">
                  <c:v>44375</c:v>
                </c:pt>
                <c:pt idx="100">
                  <c:v>44376</c:v>
                </c:pt>
                <c:pt idx="101">
                  <c:v>44377</c:v>
                </c:pt>
                <c:pt idx="102">
                  <c:v>44378</c:v>
                </c:pt>
                <c:pt idx="103">
                  <c:v>44379</c:v>
                </c:pt>
                <c:pt idx="104">
                  <c:v>44382</c:v>
                </c:pt>
                <c:pt idx="105">
                  <c:v>44383</c:v>
                </c:pt>
                <c:pt idx="106">
                  <c:v>44384</c:v>
                </c:pt>
                <c:pt idx="107">
                  <c:v>44385</c:v>
                </c:pt>
                <c:pt idx="108">
                  <c:v>44386</c:v>
                </c:pt>
                <c:pt idx="109">
                  <c:v>44389</c:v>
                </c:pt>
                <c:pt idx="110">
                  <c:v>44390</c:v>
                </c:pt>
                <c:pt idx="111">
                  <c:v>44391</c:v>
                </c:pt>
                <c:pt idx="112">
                  <c:v>44392</c:v>
                </c:pt>
                <c:pt idx="113">
                  <c:v>44393</c:v>
                </c:pt>
                <c:pt idx="114">
                  <c:v>44396</c:v>
                </c:pt>
                <c:pt idx="115">
                  <c:v>44397</c:v>
                </c:pt>
                <c:pt idx="116">
                  <c:v>44399</c:v>
                </c:pt>
                <c:pt idx="117">
                  <c:v>44400</c:v>
                </c:pt>
                <c:pt idx="118">
                  <c:v>44403</c:v>
                </c:pt>
                <c:pt idx="119">
                  <c:v>44404</c:v>
                </c:pt>
                <c:pt idx="120">
                  <c:v>44405</c:v>
                </c:pt>
                <c:pt idx="121">
                  <c:v>44406</c:v>
                </c:pt>
                <c:pt idx="122">
                  <c:v>44407</c:v>
                </c:pt>
                <c:pt idx="123">
                  <c:v>44410</c:v>
                </c:pt>
                <c:pt idx="124">
                  <c:v>44411</c:v>
                </c:pt>
                <c:pt idx="125">
                  <c:v>44412</c:v>
                </c:pt>
                <c:pt idx="126">
                  <c:v>44413</c:v>
                </c:pt>
                <c:pt idx="127">
                  <c:v>44414</c:v>
                </c:pt>
                <c:pt idx="128">
                  <c:v>44417</c:v>
                </c:pt>
                <c:pt idx="129">
                  <c:v>44418</c:v>
                </c:pt>
                <c:pt idx="130">
                  <c:v>44419</c:v>
                </c:pt>
                <c:pt idx="131">
                  <c:v>44420</c:v>
                </c:pt>
                <c:pt idx="132">
                  <c:v>44421</c:v>
                </c:pt>
                <c:pt idx="133">
                  <c:v>44424</c:v>
                </c:pt>
                <c:pt idx="134">
                  <c:v>44425</c:v>
                </c:pt>
                <c:pt idx="135">
                  <c:v>44426</c:v>
                </c:pt>
                <c:pt idx="136">
                  <c:v>44428</c:v>
                </c:pt>
                <c:pt idx="137">
                  <c:v>44431</c:v>
                </c:pt>
                <c:pt idx="138">
                  <c:v>44432</c:v>
                </c:pt>
                <c:pt idx="139">
                  <c:v>44433</c:v>
                </c:pt>
                <c:pt idx="140">
                  <c:v>44434</c:v>
                </c:pt>
                <c:pt idx="141">
                  <c:v>44435</c:v>
                </c:pt>
                <c:pt idx="142">
                  <c:v>44438</c:v>
                </c:pt>
                <c:pt idx="143">
                  <c:v>44439</c:v>
                </c:pt>
                <c:pt idx="144">
                  <c:v>44440</c:v>
                </c:pt>
                <c:pt idx="145">
                  <c:v>44441</c:v>
                </c:pt>
                <c:pt idx="146">
                  <c:v>44442</c:v>
                </c:pt>
                <c:pt idx="147">
                  <c:v>44445</c:v>
                </c:pt>
                <c:pt idx="148">
                  <c:v>44446</c:v>
                </c:pt>
                <c:pt idx="149">
                  <c:v>44447</c:v>
                </c:pt>
                <c:pt idx="150">
                  <c:v>44448</c:v>
                </c:pt>
                <c:pt idx="151">
                  <c:v>44452</c:v>
                </c:pt>
                <c:pt idx="152">
                  <c:v>44453</c:v>
                </c:pt>
                <c:pt idx="153">
                  <c:v>44454</c:v>
                </c:pt>
                <c:pt idx="154">
                  <c:v>44455</c:v>
                </c:pt>
                <c:pt idx="155">
                  <c:v>44456</c:v>
                </c:pt>
                <c:pt idx="156">
                  <c:v>44459</c:v>
                </c:pt>
                <c:pt idx="157">
                  <c:v>44460</c:v>
                </c:pt>
                <c:pt idx="158">
                  <c:v>44461</c:v>
                </c:pt>
                <c:pt idx="159">
                  <c:v>44462</c:v>
                </c:pt>
                <c:pt idx="160">
                  <c:v>44463</c:v>
                </c:pt>
                <c:pt idx="161">
                  <c:v>44466</c:v>
                </c:pt>
                <c:pt idx="162">
                  <c:v>44467</c:v>
                </c:pt>
                <c:pt idx="163">
                  <c:v>44468</c:v>
                </c:pt>
                <c:pt idx="164">
                  <c:v>44469</c:v>
                </c:pt>
                <c:pt idx="165">
                  <c:v>44470</c:v>
                </c:pt>
                <c:pt idx="166">
                  <c:v>44473</c:v>
                </c:pt>
                <c:pt idx="167">
                  <c:v>44474</c:v>
                </c:pt>
                <c:pt idx="168">
                  <c:v>44475</c:v>
                </c:pt>
                <c:pt idx="169">
                  <c:v>44476</c:v>
                </c:pt>
                <c:pt idx="170">
                  <c:v>44477</c:v>
                </c:pt>
                <c:pt idx="171">
                  <c:v>44480</c:v>
                </c:pt>
                <c:pt idx="172">
                  <c:v>44481</c:v>
                </c:pt>
                <c:pt idx="173">
                  <c:v>44482</c:v>
                </c:pt>
                <c:pt idx="174">
                  <c:v>44483</c:v>
                </c:pt>
                <c:pt idx="175">
                  <c:v>44487</c:v>
                </c:pt>
                <c:pt idx="176">
                  <c:v>44488</c:v>
                </c:pt>
                <c:pt idx="177">
                  <c:v>44489</c:v>
                </c:pt>
                <c:pt idx="178">
                  <c:v>44490</c:v>
                </c:pt>
                <c:pt idx="179">
                  <c:v>44491</c:v>
                </c:pt>
                <c:pt idx="180">
                  <c:v>44494</c:v>
                </c:pt>
                <c:pt idx="181">
                  <c:v>44495</c:v>
                </c:pt>
                <c:pt idx="182">
                  <c:v>44496</c:v>
                </c:pt>
                <c:pt idx="183">
                  <c:v>44497</c:v>
                </c:pt>
                <c:pt idx="184">
                  <c:v>44498</c:v>
                </c:pt>
                <c:pt idx="185">
                  <c:v>44501</c:v>
                </c:pt>
                <c:pt idx="186">
                  <c:v>44502</c:v>
                </c:pt>
                <c:pt idx="187">
                  <c:v>44503</c:v>
                </c:pt>
                <c:pt idx="188">
                  <c:v>44504</c:v>
                </c:pt>
                <c:pt idx="189">
                  <c:v>44508</c:v>
                </c:pt>
                <c:pt idx="190">
                  <c:v>44509</c:v>
                </c:pt>
                <c:pt idx="191">
                  <c:v>44510</c:v>
                </c:pt>
                <c:pt idx="192">
                  <c:v>44511</c:v>
                </c:pt>
                <c:pt idx="193">
                  <c:v>44512</c:v>
                </c:pt>
                <c:pt idx="194">
                  <c:v>44515</c:v>
                </c:pt>
                <c:pt idx="195">
                  <c:v>44516</c:v>
                </c:pt>
                <c:pt idx="196">
                  <c:v>44517</c:v>
                </c:pt>
                <c:pt idx="197">
                  <c:v>44518</c:v>
                </c:pt>
                <c:pt idx="198">
                  <c:v>44522</c:v>
                </c:pt>
                <c:pt idx="199">
                  <c:v>44523</c:v>
                </c:pt>
                <c:pt idx="200">
                  <c:v>44524</c:v>
                </c:pt>
                <c:pt idx="201">
                  <c:v>44525</c:v>
                </c:pt>
                <c:pt idx="202">
                  <c:v>44526</c:v>
                </c:pt>
                <c:pt idx="203">
                  <c:v>44529</c:v>
                </c:pt>
                <c:pt idx="204">
                  <c:v>44530</c:v>
                </c:pt>
                <c:pt idx="205">
                  <c:v>44531</c:v>
                </c:pt>
                <c:pt idx="206">
                  <c:v>44532</c:v>
                </c:pt>
                <c:pt idx="207">
                  <c:v>44533</c:v>
                </c:pt>
                <c:pt idx="208">
                  <c:v>44536</c:v>
                </c:pt>
                <c:pt idx="209">
                  <c:v>44537</c:v>
                </c:pt>
                <c:pt idx="210">
                  <c:v>44538</c:v>
                </c:pt>
                <c:pt idx="211">
                  <c:v>44539</c:v>
                </c:pt>
                <c:pt idx="212">
                  <c:v>44540</c:v>
                </c:pt>
                <c:pt idx="213">
                  <c:v>44543</c:v>
                </c:pt>
                <c:pt idx="214">
                  <c:v>44544</c:v>
                </c:pt>
                <c:pt idx="215">
                  <c:v>44545</c:v>
                </c:pt>
                <c:pt idx="216">
                  <c:v>44546</c:v>
                </c:pt>
                <c:pt idx="217">
                  <c:v>44547</c:v>
                </c:pt>
                <c:pt idx="218">
                  <c:v>44550</c:v>
                </c:pt>
                <c:pt idx="219">
                  <c:v>44551</c:v>
                </c:pt>
                <c:pt idx="220">
                  <c:v>44552</c:v>
                </c:pt>
                <c:pt idx="221">
                  <c:v>44553</c:v>
                </c:pt>
                <c:pt idx="222">
                  <c:v>44554</c:v>
                </c:pt>
                <c:pt idx="223">
                  <c:v>44557</c:v>
                </c:pt>
                <c:pt idx="224">
                  <c:v>44558</c:v>
                </c:pt>
                <c:pt idx="225">
                  <c:v>44559</c:v>
                </c:pt>
                <c:pt idx="226">
                  <c:v>44560</c:v>
                </c:pt>
                <c:pt idx="227">
                  <c:v>44561</c:v>
                </c:pt>
                <c:pt idx="228">
                  <c:v>44564</c:v>
                </c:pt>
                <c:pt idx="229">
                  <c:v>44565</c:v>
                </c:pt>
                <c:pt idx="230">
                  <c:v>44566</c:v>
                </c:pt>
                <c:pt idx="231">
                  <c:v>44567</c:v>
                </c:pt>
                <c:pt idx="232">
                  <c:v>44568</c:v>
                </c:pt>
                <c:pt idx="233">
                  <c:v>44571</c:v>
                </c:pt>
                <c:pt idx="234">
                  <c:v>44572</c:v>
                </c:pt>
                <c:pt idx="235">
                  <c:v>44573</c:v>
                </c:pt>
                <c:pt idx="236">
                  <c:v>44574</c:v>
                </c:pt>
                <c:pt idx="237">
                  <c:v>44575</c:v>
                </c:pt>
                <c:pt idx="238">
                  <c:v>44578</c:v>
                </c:pt>
                <c:pt idx="239">
                  <c:v>44579</c:v>
                </c:pt>
                <c:pt idx="240">
                  <c:v>44580</c:v>
                </c:pt>
                <c:pt idx="241">
                  <c:v>44581</c:v>
                </c:pt>
                <c:pt idx="242">
                  <c:v>44582</c:v>
                </c:pt>
                <c:pt idx="243">
                  <c:v>44585</c:v>
                </c:pt>
                <c:pt idx="244">
                  <c:v>44586</c:v>
                </c:pt>
                <c:pt idx="245">
                  <c:v>44588</c:v>
                </c:pt>
                <c:pt idx="246">
                  <c:v>44589</c:v>
                </c:pt>
                <c:pt idx="247">
                  <c:v>44592</c:v>
                </c:pt>
                <c:pt idx="248">
                  <c:v>44593</c:v>
                </c:pt>
                <c:pt idx="249">
                  <c:v>44594</c:v>
                </c:pt>
                <c:pt idx="250">
                  <c:v>44595</c:v>
                </c:pt>
                <c:pt idx="251">
                  <c:v>44596</c:v>
                </c:pt>
                <c:pt idx="252">
                  <c:v>44599</c:v>
                </c:pt>
                <c:pt idx="253">
                  <c:v>44600</c:v>
                </c:pt>
                <c:pt idx="254">
                  <c:v>44601</c:v>
                </c:pt>
                <c:pt idx="255">
                  <c:v>44602</c:v>
                </c:pt>
                <c:pt idx="256">
                  <c:v>44603</c:v>
                </c:pt>
                <c:pt idx="257">
                  <c:v>44606</c:v>
                </c:pt>
                <c:pt idx="258">
                  <c:v>44607</c:v>
                </c:pt>
                <c:pt idx="259">
                  <c:v>44608</c:v>
                </c:pt>
                <c:pt idx="260">
                  <c:v>44609</c:v>
                </c:pt>
                <c:pt idx="261">
                  <c:v>44610</c:v>
                </c:pt>
                <c:pt idx="262">
                  <c:v>44613</c:v>
                </c:pt>
                <c:pt idx="263">
                  <c:v>44614</c:v>
                </c:pt>
                <c:pt idx="264">
                  <c:v>44615</c:v>
                </c:pt>
                <c:pt idx="265">
                  <c:v>44616</c:v>
                </c:pt>
                <c:pt idx="266">
                  <c:v>44617</c:v>
                </c:pt>
                <c:pt idx="267">
                  <c:v>44620</c:v>
                </c:pt>
                <c:pt idx="268">
                  <c:v>44622</c:v>
                </c:pt>
                <c:pt idx="269">
                  <c:v>44623</c:v>
                </c:pt>
                <c:pt idx="270">
                  <c:v>44624</c:v>
                </c:pt>
                <c:pt idx="271">
                  <c:v>44627</c:v>
                </c:pt>
                <c:pt idx="272">
                  <c:v>44628</c:v>
                </c:pt>
                <c:pt idx="273">
                  <c:v>44629</c:v>
                </c:pt>
                <c:pt idx="274">
                  <c:v>44630</c:v>
                </c:pt>
                <c:pt idx="275">
                  <c:v>44631</c:v>
                </c:pt>
                <c:pt idx="276">
                  <c:v>44634</c:v>
                </c:pt>
                <c:pt idx="277">
                  <c:v>44635</c:v>
                </c:pt>
                <c:pt idx="278">
                  <c:v>44636</c:v>
                </c:pt>
                <c:pt idx="279">
                  <c:v>44637</c:v>
                </c:pt>
                <c:pt idx="280">
                  <c:v>44641</c:v>
                </c:pt>
                <c:pt idx="281">
                  <c:v>44642</c:v>
                </c:pt>
                <c:pt idx="282">
                  <c:v>44643</c:v>
                </c:pt>
                <c:pt idx="283">
                  <c:v>44644</c:v>
                </c:pt>
                <c:pt idx="284">
                  <c:v>44645</c:v>
                </c:pt>
                <c:pt idx="285">
                  <c:v>44648</c:v>
                </c:pt>
                <c:pt idx="286">
                  <c:v>44649</c:v>
                </c:pt>
                <c:pt idx="287">
                  <c:v>44650</c:v>
                </c:pt>
                <c:pt idx="288">
                  <c:v>44651</c:v>
                </c:pt>
                <c:pt idx="289">
                  <c:v>44652</c:v>
                </c:pt>
                <c:pt idx="290">
                  <c:v>44655</c:v>
                </c:pt>
                <c:pt idx="291">
                  <c:v>44656</c:v>
                </c:pt>
                <c:pt idx="292">
                  <c:v>44657</c:v>
                </c:pt>
                <c:pt idx="293">
                  <c:v>44658</c:v>
                </c:pt>
                <c:pt idx="294">
                  <c:v>44659</c:v>
                </c:pt>
                <c:pt idx="295">
                  <c:v>44662</c:v>
                </c:pt>
                <c:pt idx="296">
                  <c:v>44663</c:v>
                </c:pt>
                <c:pt idx="297">
                  <c:v>44664</c:v>
                </c:pt>
                <c:pt idx="298">
                  <c:v>44669</c:v>
                </c:pt>
                <c:pt idx="299">
                  <c:v>44670</c:v>
                </c:pt>
                <c:pt idx="300">
                  <c:v>44671</c:v>
                </c:pt>
                <c:pt idx="301">
                  <c:v>44672</c:v>
                </c:pt>
                <c:pt idx="302">
                  <c:v>44673</c:v>
                </c:pt>
                <c:pt idx="303">
                  <c:v>44676</c:v>
                </c:pt>
                <c:pt idx="304">
                  <c:v>44677</c:v>
                </c:pt>
                <c:pt idx="305">
                  <c:v>44678</c:v>
                </c:pt>
                <c:pt idx="306">
                  <c:v>44679</c:v>
                </c:pt>
                <c:pt idx="307">
                  <c:v>44680</c:v>
                </c:pt>
                <c:pt idx="308">
                  <c:v>44683</c:v>
                </c:pt>
                <c:pt idx="309">
                  <c:v>44685</c:v>
                </c:pt>
                <c:pt idx="310">
                  <c:v>44686</c:v>
                </c:pt>
                <c:pt idx="311">
                  <c:v>44687</c:v>
                </c:pt>
                <c:pt idx="312">
                  <c:v>44690</c:v>
                </c:pt>
                <c:pt idx="313">
                  <c:v>44691</c:v>
                </c:pt>
                <c:pt idx="314">
                  <c:v>44692</c:v>
                </c:pt>
                <c:pt idx="315">
                  <c:v>44693</c:v>
                </c:pt>
                <c:pt idx="316">
                  <c:v>44694</c:v>
                </c:pt>
                <c:pt idx="317">
                  <c:v>44697</c:v>
                </c:pt>
                <c:pt idx="318">
                  <c:v>44698</c:v>
                </c:pt>
                <c:pt idx="319">
                  <c:v>44699</c:v>
                </c:pt>
                <c:pt idx="320">
                  <c:v>44700</c:v>
                </c:pt>
                <c:pt idx="321">
                  <c:v>44701</c:v>
                </c:pt>
                <c:pt idx="322">
                  <c:v>44704</c:v>
                </c:pt>
                <c:pt idx="323">
                  <c:v>44705</c:v>
                </c:pt>
                <c:pt idx="324">
                  <c:v>44706</c:v>
                </c:pt>
                <c:pt idx="325">
                  <c:v>44707</c:v>
                </c:pt>
                <c:pt idx="326">
                  <c:v>44708</c:v>
                </c:pt>
                <c:pt idx="327">
                  <c:v>44711</c:v>
                </c:pt>
                <c:pt idx="328">
                  <c:v>44712</c:v>
                </c:pt>
                <c:pt idx="329">
                  <c:v>44713</c:v>
                </c:pt>
                <c:pt idx="330">
                  <c:v>44714</c:v>
                </c:pt>
                <c:pt idx="331">
                  <c:v>44715</c:v>
                </c:pt>
                <c:pt idx="332">
                  <c:v>44718</c:v>
                </c:pt>
                <c:pt idx="333">
                  <c:v>44719</c:v>
                </c:pt>
                <c:pt idx="334">
                  <c:v>44720</c:v>
                </c:pt>
                <c:pt idx="335">
                  <c:v>44721</c:v>
                </c:pt>
                <c:pt idx="336">
                  <c:v>44722</c:v>
                </c:pt>
                <c:pt idx="337">
                  <c:v>44725</c:v>
                </c:pt>
                <c:pt idx="338">
                  <c:v>44726</c:v>
                </c:pt>
                <c:pt idx="339">
                  <c:v>44727</c:v>
                </c:pt>
                <c:pt idx="340">
                  <c:v>44728</c:v>
                </c:pt>
                <c:pt idx="341">
                  <c:v>44729</c:v>
                </c:pt>
                <c:pt idx="342">
                  <c:v>44732</c:v>
                </c:pt>
                <c:pt idx="343">
                  <c:v>44733</c:v>
                </c:pt>
                <c:pt idx="344">
                  <c:v>44734</c:v>
                </c:pt>
                <c:pt idx="345">
                  <c:v>44735</c:v>
                </c:pt>
                <c:pt idx="346">
                  <c:v>44736</c:v>
                </c:pt>
                <c:pt idx="347">
                  <c:v>44739</c:v>
                </c:pt>
                <c:pt idx="348">
                  <c:v>44740</c:v>
                </c:pt>
                <c:pt idx="349">
                  <c:v>44741</c:v>
                </c:pt>
                <c:pt idx="350">
                  <c:v>44742</c:v>
                </c:pt>
                <c:pt idx="351">
                  <c:v>44743</c:v>
                </c:pt>
                <c:pt idx="352">
                  <c:v>44746</c:v>
                </c:pt>
                <c:pt idx="353">
                  <c:v>44747</c:v>
                </c:pt>
                <c:pt idx="354">
                  <c:v>44748</c:v>
                </c:pt>
                <c:pt idx="355">
                  <c:v>44749</c:v>
                </c:pt>
                <c:pt idx="356">
                  <c:v>44750</c:v>
                </c:pt>
                <c:pt idx="357">
                  <c:v>44753</c:v>
                </c:pt>
                <c:pt idx="358">
                  <c:v>44754</c:v>
                </c:pt>
                <c:pt idx="359">
                  <c:v>44755</c:v>
                </c:pt>
                <c:pt idx="360">
                  <c:v>44756</c:v>
                </c:pt>
                <c:pt idx="361">
                  <c:v>44757</c:v>
                </c:pt>
                <c:pt idx="362">
                  <c:v>44760</c:v>
                </c:pt>
                <c:pt idx="363">
                  <c:v>44761</c:v>
                </c:pt>
                <c:pt idx="364">
                  <c:v>44762</c:v>
                </c:pt>
                <c:pt idx="365">
                  <c:v>44763</c:v>
                </c:pt>
                <c:pt idx="366">
                  <c:v>44764</c:v>
                </c:pt>
                <c:pt idx="367">
                  <c:v>44767</c:v>
                </c:pt>
                <c:pt idx="368">
                  <c:v>44768</c:v>
                </c:pt>
                <c:pt idx="369">
                  <c:v>44769</c:v>
                </c:pt>
                <c:pt idx="370">
                  <c:v>44770</c:v>
                </c:pt>
                <c:pt idx="371">
                  <c:v>44771</c:v>
                </c:pt>
                <c:pt idx="372">
                  <c:v>44774</c:v>
                </c:pt>
                <c:pt idx="373">
                  <c:v>44775</c:v>
                </c:pt>
                <c:pt idx="374">
                  <c:v>44776</c:v>
                </c:pt>
                <c:pt idx="375">
                  <c:v>44777</c:v>
                </c:pt>
                <c:pt idx="376">
                  <c:v>44778</c:v>
                </c:pt>
                <c:pt idx="377">
                  <c:v>44781</c:v>
                </c:pt>
                <c:pt idx="378">
                  <c:v>44783</c:v>
                </c:pt>
                <c:pt idx="379">
                  <c:v>44784</c:v>
                </c:pt>
                <c:pt idx="380">
                  <c:v>44785</c:v>
                </c:pt>
                <c:pt idx="381">
                  <c:v>44789</c:v>
                </c:pt>
                <c:pt idx="382">
                  <c:v>44790</c:v>
                </c:pt>
                <c:pt idx="383">
                  <c:v>44791</c:v>
                </c:pt>
                <c:pt idx="384">
                  <c:v>44792</c:v>
                </c:pt>
                <c:pt idx="385">
                  <c:v>44795</c:v>
                </c:pt>
                <c:pt idx="386">
                  <c:v>44796</c:v>
                </c:pt>
                <c:pt idx="387">
                  <c:v>44797</c:v>
                </c:pt>
                <c:pt idx="388">
                  <c:v>44798</c:v>
                </c:pt>
                <c:pt idx="389">
                  <c:v>44799</c:v>
                </c:pt>
                <c:pt idx="390">
                  <c:v>44802</c:v>
                </c:pt>
                <c:pt idx="391">
                  <c:v>44803</c:v>
                </c:pt>
                <c:pt idx="392">
                  <c:v>44805</c:v>
                </c:pt>
                <c:pt idx="393">
                  <c:v>44806</c:v>
                </c:pt>
                <c:pt idx="394">
                  <c:v>44809</c:v>
                </c:pt>
                <c:pt idx="395">
                  <c:v>44810</c:v>
                </c:pt>
                <c:pt idx="396">
                  <c:v>44811</c:v>
                </c:pt>
                <c:pt idx="397">
                  <c:v>44812</c:v>
                </c:pt>
                <c:pt idx="398">
                  <c:v>44813</c:v>
                </c:pt>
                <c:pt idx="399">
                  <c:v>44816</c:v>
                </c:pt>
                <c:pt idx="400">
                  <c:v>44817</c:v>
                </c:pt>
                <c:pt idx="401">
                  <c:v>44818</c:v>
                </c:pt>
                <c:pt idx="402">
                  <c:v>44819</c:v>
                </c:pt>
                <c:pt idx="403">
                  <c:v>44820</c:v>
                </c:pt>
                <c:pt idx="404">
                  <c:v>44823</c:v>
                </c:pt>
                <c:pt idx="405">
                  <c:v>44824</c:v>
                </c:pt>
                <c:pt idx="406">
                  <c:v>44825</c:v>
                </c:pt>
                <c:pt idx="407">
                  <c:v>44826</c:v>
                </c:pt>
                <c:pt idx="408">
                  <c:v>44827</c:v>
                </c:pt>
                <c:pt idx="409">
                  <c:v>44830</c:v>
                </c:pt>
                <c:pt idx="410">
                  <c:v>44831</c:v>
                </c:pt>
                <c:pt idx="411">
                  <c:v>44832</c:v>
                </c:pt>
                <c:pt idx="412">
                  <c:v>44833</c:v>
                </c:pt>
                <c:pt idx="413">
                  <c:v>44834</c:v>
                </c:pt>
                <c:pt idx="414">
                  <c:v>44837</c:v>
                </c:pt>
                <c:pt idx="415">
                  <c:v>44838</c:v>
                </c:pt>
                <c:pt idx="416">
                  <c:v>44840</c:v>
                </c:pt>
                <c:pt idx="417">
                  <c:v>44841</c:v>
                </c:pt>
                <c:pt idx="418">
                  <c:v>44844</c:v>
                </c:pt>
                <c:pt idx="419">
                  <c:v>44845</c:v>
                </c:pt>
                <c:pt idx="420">
                  <c:v>44846</c:v>
                </c:pt>
                <c:pt idx="421">
                  <c:v>44847</c:v>
                </c:pt>
                <c:pt idx="422">
                  <c:v>44848</c:v>
                </c:pt>
                <c:pt idx="423">
                  <c:v>44851</c:v>
                </c:pt>
                <c:pt idx="424">
                  <c:v>44852</c:v>
                </c:pt>
                <c:pt idx="425">
                  <c:v>44853</c:v>
                </c:pt>
                <c:pt idx="426">
                  <c:v>44854</c:v>
                </c:pt>
                <c:pt idx="427">
                  <c:v>44855</c:v>
                </c:pt>
                <c:pt idx="428">
                  <c:v>44859</c:v>
                </c:pt>
                <c:pt idx="429">
                  <c:v>44861</c:v>
                </c:pt>
                <c:pt idx="430">
                  <c:v>44862</c:v>
                </c:pt>
                <c:pt idx="431">
                  <c:v>44865</c:v>
                </c:pt>
                <c:pt idx="432">
                  <c:v>44866</c:v>
                </c:pt>
                <c:pt idx="433">
                  <c:v>44867</c:v>
                </c:pt>
                <c:pt idx="434">
                  <c:v>44868</c:v>
                </c:pt>
                <c:pt idx="435">
                  <c:v>44869</c:v>
                </c:pt>
                <c:pt idx="436">
                  <c:v>44872</c:v>
                </c:pt>
                <c:pt idx="437">
                  <c:v>44874</c:v>
                </c:pt>
                <c:pt idx="438">
                  <c:v>44875</c:v>
                </c:pt>
                <c:pt idx="439">
                  <c:v>44876</c:v>
                </c:pt>
                <c:pt idx="440">
                  <c:v>44879</c:v>
                </c:pt>
                <c:pt idx="441">
                  <c:v>44880</c:v>
                </c:pt>
                <c:pt idx="442">
                  <c:v>44881</c:v>
                </c:pt>
                <c:pt idx="443">
                  <c:v>44882</c:v>
                </c:pt>
                <c:pt idx="444">
                  <c:v>44883</c:v>
                </c:pt>
                <c:pt idx="445">
                  <c:v>44886</c:v>
                </c:pt>
                <c:pt idx="446">
                  <c:v>44887</c:v>
                </c:pt>
                <c:pt idx="447">
                  <c:v>44888</c:v>
                </c:pt>
                <c:pt idx="448">
                  <c:v>44889</c:v>
                </c:pt>
                <c:pt idx="449">
                  <c:v>44890</c:v>
                </c:pt>
                <c:pt idx="450">
                  <c:v>44893</c:v>
                </c:pt>
                <c:pt idx="451">
                  <c:v>44894</c:v>
                </c:pt>
                <c:pt idx="452">
                  <c:v>44895</c:v>
                </c:pt>
                <c:pt idx="453">
                  <c:v>44896</c:v>
                </c:pt>
                <c:pt idx="454">
                  <c:v>44897</c:v>
                </c:pt>
                <c:pt idx="455">
                  <c:v>44900</c:v>
                </c:pt>
                <c:pt idx="456">
                  <c:v>44901</c:v>
                </c:pt>
                <c:pt idx="457">
                  <c:v>44902</c:v>
                </c:pt>
                <c:pt idx="458">
                  <c:v>44903</c:v>
                </c:pt>
                <c:pt idx="459">
                  <c:v>44904</c:v>
                </c:pt>
                <c:pt idx="460">
                  <c:v>44907</c:v>
                </c:pt>
                <c:pt idx="461">
                  <c:v>44908</c:v>
                </c:pt>
                <c:pt idx="462">
                  <c:v>44909</c:v>
                </c:pt>
                <c:pt idx="463">
                  <c:v>44910</c:v>
                </c:pt>
                <c:pt idx="464">
                  <c:v>44911</c:v>
                </c:pt>
                <c:pt idx="465">
                  <c:v>44914</c:v>
                </c:pt>
                <c:pt idx="466">
                  <c:v>44915</c:v>
                </c:pt>
                <c:pt idx="467">
                  <c:v>44916</c:v>
                </c:pt>
                <c:pt idx="468">
                  <c:v>44917</c:v>
                </c:pt>
                <c:pt idx="469">
                  <c:v>44918</c:v>
                </c:pt>
                <c:pt idx="470">
                  <c:v>44921</c:v>
                </c:pt>
                <c:pt idx="471">
                  <c:v>44922</c:v>
                </c:pt>
                <c:pt idx="472">
                  <c:v>44923</c:v>
                </c:pt>
                <c:pt idx="473">
                  <c:v>44924</c:v>
                </c:pt>
                <c:pt idx="474">
                  <c:v>44925</c:v>
                </c:pt>
                <c:pt idx="475">
                  <c:v>44928</c:v>
                </c:pt>
                <c:pt idx="476">
                  <c:v>44929</c:v>
                </c:pt>
                <c:pt idx="477">
                  <c:v>44930</c:v>
                </c:pt>
                <c:pt idx="478">
                  <c:v>44931</c:v>
                </c:pt>
                <c:pt idx="479">
                  <c:v>44932</c:v>
                </c:pt>
                <c:pt idx="480">
                  <c:v>44935</c:v>
                </c:pt>
                <c:pt idx="481">
                  <c:v>44936</c:v>
                </c:pt>
                <c:pt idx="482">
                  <c:v>44937</c:v>
                </c:pt>
                <c:pt idx="483">
                  <c:v>44938</c:v>
                </c:pt>
                <c:pt idx="484">
                  <c:v>44939</c:v>
                </c:pt>
                <c:pt idx="485">
                  <c:v>44942</c:v>
                </c:pt>
                <c:pt idx="486">
                  <c:v>44943</c:v>
                </c:pt>
                <c:pt idx="487">
                  <c:v>44944</c:v>
                </c:pt>
                <c:pt idx="488">
                  <c:v>44945</c:v>
                </c:pt>
                <c:pt idx="489">
                  <c:v>44946</c:v>
                </c:pt>
                <c:pt idx="490">
                  <c:v>44949</c:v>
                </c:pt>
                <c:pt idx="491">
                  <c:v>44950</c:v>
                </c:pt>
                <c:pt idx="492">
                  <c:v>44951</c:v>
                </c:pt>
                <c:pt idx="493">
                  <c:v>44953</c:v>
                </c:pt>
                <c:pt idx="494">
                  <c:v>44956</c:v>
                </c:pt>
                <c:pt idx="495">
                  <c:v>44957</c:v>
                </c:pt>
                <c:pt idx="496">
                  <c:v>44958</c:v>
                </c:pt>
                <c:pt idx="497">
                  <c:v>44959</c:v>
                </c:pt>
                <c:pt idx="498">
                  <c:v>44960</c:v>
                </c:pt>
                <c:pt idx="499">
                  <c:v>44963</c:v>
                </c:pt>
                <c:pt idx="500">
                  <c:v>44964</c:v>
                </c:pt>
                <c:pt idx="501">
                  <c:v>44965</c:v>
                </c:pt>
                <c:pt idx="502">
                  <c:v>44966</c:v>
                </c:pt>
                <c:pt idx="503">
                  <c:v>44967</c:v>
                </c:pt>
                <c:pt idx="504">
                  <c:v>44970</c:v>
                </c:pt>
                <c:pt idx="505">
                  <c:v>44971</c:v>
                </c:pt>
                <c:pt idx="506">
                  <c:v>44972</c:v>
                </c:pt>
                <c:pt idx="507">
                  <c:v>44973</c:v>
                </c:pt>
                <c:pt idx="508">
                  <c:v>44974</c:v>
                </c:pt>
                <c:pt idx="509">
                  <c:v>44977</c:v>
                </c:pt>
                <c:pt idx="510">
                  <c:v>44978</c:v>
                </c:pt>
                <c:pt idx="511">
                  <c:v>44979</c:v>
                </c:pt>
                <c:pt idx="512">
                  <c:v>44980</c:v>
                </c:pt>
                <c:pt idx="513">
                  <c:v>44981</c:v>
                </c:pt>
                <c:pt idx="514">
                  <c:v>44984</c:v>
                </c:pt>
                <c:pt idx="515">
                  <c:v>44985</c:v>
                </c:pt>
                <c:pt idx="516">
                  <c:v>44986</c:v>
                </c:pt>
                <c:pt idx="517">
                  <c:v>44987</c:v>
                </c:pt>
                <c:pt idx="518">
                  <c:v>44988</c:v>
                </c:pt>
                <c:pt idx="519">
                  <c:v>44991</c:v>
                </c:pt>
                <c:pt idx="520">
                  <c:v>44993</c:v>
                </c:pt>
                <c:pt idx="521">
                  <c:v>44994</c:v>
                </c:pt>
                <c:pt idx="522">
                  <c:v>44995</c:v>
                </c:pt>
                <c:pt idx="523">
                  <c:v>44998</c:v>
                </c:pt>
                <c:pt idx="524">
                  <c:v>44999</c:v>
                </c:pt>
                <c:pt idx="525">
                  <c:v>45000</c:v>
                </c:pt>
                <c:pt idx="526">
                  <c:v>45001</c:v>
                </c:pt>
                <c:pt idx="527">
                  <c:v>45002</c:v>
                </c:pt>
                <c:pt idx="528">
                  <c:v>45005</c:v>
                </c:pt>
                <c:pt idx="529">
                  <c:v>45006</c:v>
                </c:pt>
                <c:pt idx="530">
                  <c:v>45007</c:v>
                </c:pt>
                <c:pt idx="531">
                  <c:v>45008</c:v>
                </c:pt>
                <c:pt idx="532">
                  <c:v>45009</c:v>
                </c:pt>
                <c:pt idx="533">
                  <c:v>45012</c:v>
                </c:pt>
                <c:pt idx="534">
                  <c:v>45013</c:v>
                </c:pt>
                <c:pt idx="535">
                  <c:v>45014</c:v>
                </c:pt>
                <c:pt idx="536">
                  <c:v>45016</c:v>
                </c:pt>
                <c:pt idx="537">
                  <c:v>45019</c:v>
                </c:pt>
                <c:pt idx="538">
                  <c:v>45021</c:v>
                </c:pt>
                <c:pt idx="539">
                  <c:v>45022</c:v>
                </c:pt>
                <c:pt idx="540">
                  <c:v>45026</c:v>
                </c:pt>
                <c:pt idx="541">
                  <c:v>45027</c:v>
                </c:pt>
                <c:pt idx="542">
                  <c:v>45028</c:v>
                </c:pt>
                <c:pt idx="543">
                  <c:v>45029</c:v>
                </c:pt>
                <c:pt idx="544">
                  <c:v>45033</c:v>
                </c:pt>
                <c:pt idx="545">
                  <c:v>45034</c:v>
                </c:pt>
                <c:pt idx="546">
                  <c:v>45035</c:v>
                </c:pt>
                <c:pt idx="547">
                  <c:v>45036</c:v>
                </c:pt>
                <c:pt idx="548">
                  <c:v>45037</c:v>
                </c:pt>
                <c:pt idx="549">
                  <c:v>45040</c:v>
                </c:pt>
                <c:pt idx="550">
                  <c:v>45041</c:v>
                </c:pt>
                <c:pt idx="551">
                  <c:v>45042</c:v>
                </c:pt>
                <c:pt idx="552">
                  <c:v>45043</c:v>
                </c:pt>
                <c:pt idx="553">
                  <c:v>45044</c:v>
                </c:pt>
                <c:pt idx="554">
                  <c:v>45048</c:v>
                </c:pt>
                <c:pt idx="555">
                  <c:v>45049</c:v>
                </c:pt>
                <c:pt idx="556">
                  <c:v>45050</c:v>
                </c:pt>
                <c:pt idx="557">
                  <c:v>45051</c:v>
                </c:pt>
                <c:pt idx="558">
                  <c:v>45054</c:v>
                </c:pt>
                <c:pt idx="559">
                  <c:v>45055</c:v>
                </c:pt>
                <c:pt idx="560">
                  <c:v>45056</c:v>
                </c:pt>
                <c:pt idx="561">
                  <c:v>45057</c:v>
                </c:pt>
                <c:pt idx="562">
                  <c:v>45058</c:v>
                </c:pt>
                <c:pt idx="563">
                  <c:v>45061</c:v>
                </c:pt>
                <c:pt idx="564">
                  <c:v>45062</c:v>
                </c:pt>
                <c:pt idx="565">
                  <c:v>45063</c:v>
                </c:pt>
                <c:pt idx="566">
                  <c:v>45064</c:v>
                </c:pt>
                <c:pt idx="567">
                  <c:v>45065</c:v>
                </c:pt>
                <c:pt idx="568">
                  <c:v>45068</c:v>
                </c:pt>
                <c:pt idx="569">
                  <c:v>45069</c:v>
                </c:pt>
                <c:pt idx="570">
                  <c:v>45070</c:v>
                </c:pt>
                <c:pt idx="571">
                  <c:v>45071</c:v>
                </c:pt>
                <c:pt idx="572">
                  <c:v>45072</c:v>
                </c:pt>
                <c:pt idx="573">
                  <c:v>45075</c:v>
                </c:pt>
                <c:pt idx="574">
                  <c:v>45076</c:v>
                </c:pt>
                <c:pt idx="575">
                  <c:v>45077</c:v>
                </c:pt>
                <c:pt idx="576">
                  <c:v>45078</c:v>
                </c:pt>
                <c:pt idx="577">
                  <c:v>45079</c:v>
                </c:pt>
                <c:pt idx="578">
                  <c:v>45082</c:v>
                </c:pt>
                <c:pt idx="579">
                  <c:v>45083</c:v>
                </c:pt>
                <c:pt idx="580">
                  <c:v>45084</c:v>
                </c:pt>
                <c:pt idx="581">
                  <c:v>45085</c:v>
                </c:pt>
                <c:pt idx="582">
                  <c:v>45086</c:v>
                </c:pt>
                <c:pt idx="583">
                  <c:v>45089</c:v>
                </c:pt>
                <c:pt idx="584">
                  <c:v>45090</c:v>
                </c:pt>
                <c:pt idx="585">
                  <c:v>45091</c:v>
                </c:pt>
                <c:pt idx="586">
                  <c:v>45092</c:v>
                </c:pt>
                <c:pt idx="587">
                  <c:v>45093</c:v>
                </c:pt>
                <c:pt idx="588">
                  <c:v>45096</c:v>
                </c:pt>
                <c:pt idx="589">
                  <c:v>45097</c:v>
                </c:pt>
                <c:pt idx="590">
                  <c:v>45098</c:v>
                </c:pt>
                <c:pt idx="591">
                  <c:v>45099</c:v>
                </c:pt>
                <c:pt idx="592">
                  <c:v>45100</c:v>
                </c:pt>
                <c:pt idx="593">
                  <c:v>45103</c:v>
                </c:pt>
                <c:pt idx="594">
                  <c:v>45104</c:v>
                </c:pt>
                <c:pt idx="595">
                  <c:v>45105</c:v>
                </c:pt>
                <c:pt idx="596">
                  <c:v>45107</c:v>
                </c:pt>
                <c:pt idx="597">
                  <c:v>45110</c:v>
                </c:pt>
                <c:pt idx="598">
                  <c:v>45111</c:v>
                </c:pt>
                <c:pt idx="599">
                  <c:v>45112</c:v>
                </c:pt>
                <c:pt idx="600">
                  <c:v>45113</c:v>
                </c:pt>
                <c:pt idx="601">
                  <c:v>45114</c:v>
                </c:pt>
                <c:pt idx="602">
                  <c:v>45117</c:v>
                </c:pt>
                <c:pt idx="603">
                  <c:v>45118</c:v>
                </c:pt>
                <c:pt idx="604">
                  <c:v>45119</c:v>
                </c:pt>
                <c:pt idx="605">
                  <c:v>45120</c:v>
                </c:pt>
                <c:pt idx="606">
                  <c:v>45121</c:v>
                </c:pt>
                <c:pt idx="607">
                  <c:v>45124</c:v>
                </c:pt>
                <c:pt idx="608">
                  <c:v>45125</c:v>
                </c:pt>
                <c:pt idx="609">
                  <c:v>45126</c:v>
                </c:pt>
                <c:pt idx="610">
                  <c:v>45127</c:v>
                </c:pt>
                <c:pt idx="611">
                  <c:v>45128</c:v>
                </c:pt>
                <c:pt idx="612">
                  <c:v>45131</c:v>
                </c:pt>
                <c:pt idx="613">
                  <c:v>45132</c:v>
                </c:pt>
                <c:pt idx="614">
                  <c:v>45133</c:v>
                </c:pt>
                <c:pt idx="615">
                  <c:v>45134</c:v>
                </c:pt>
                <c:pt idx="616">
                  <c:v>45135</c:v>
                </c:pt>
                <c:pt idx="617">
                  <c:v>45138</c:v>
                </c:pt>
                <c:pt idx="618">
                  <c:v>45139</c:v>
                </c:pt>
                <c:pt idx="619">
                  <c:v>45140</c:v>
                </c:pt>
                <c:pt idx="620">
                  <c:v>45141</c:v>
                </c:pt>
                <c:pt idx="621">
                  <c:v>45142</c:v>
                </c:pt>
                <c:pt idx="622">
                  <c:v>45145</c:v>
                </c:pt>
                <c:pt idx="623">
                  <c:v>45146</c:v>
                </c:pt>
                <c:pt idx="624">
                  <c:v>45147</c:v>
                </c:pt>
                <c:pt idx="625">
                  <c:v>45148</c:v>
                </c:pt>
                <c:pt idx="626">
                  <c:v>45149</c:v>
                </c:pt>
                <c:pt idx="627">
                  <c:v>45152</c:v>
                </c:pt>
                <c:pt idx="628">
                  <c:v>45154</c:v>
                </c:pt>
                <c:pt idx="629">
                  <c:v>45155</c:v>
                </c:pt>
                <c:pt idx="630">
                  <c:v>45156</c:v>
                </c:pt>
                <c:pt idx="631">
                  <c:v>45159</c:v>
                </c:pt>
                <c:pt idx="632">
                  <c:v>45160</c:v>
                </c:pt>
                <c:pt idx="633">
                  <c:v>45161</c:v>
                </c:pt>
                <c:pt idx="634">
                  <c:v>45162</c:v>
                </c:pt>
                <c:pt idx="635">
                  <c:v>45163</c:v>
                </c:pt>
                <c:pt idx="636">
                  <c:v>45166</c:v>
                </c:pt>
                <c:pt idx="637">
                  <c:v>45167</c:v>
                </c:pt>
                <c:pt idx="638">
                  <c:v>45168</c:v>
                </c:pt>
                <c:pt idx="639">
                  <c:v>45169</c:v>
                </c:pt>
                <c:pt idx="640">
                  <c:v>45170</c:v>
                </c:pt>
                <c:pt idx="641">
                  <c:v>45173</c:v>
                </c:pt>
                <c:pt idx="642">
                  <c:v>45174</c:v>
                </c:pt>
                <c:pt idx="643">
                  <c:v>45175</c:v>
                </c:pt>
                <c:pt idx="644">
                  <c:v>45176</c:v>
                </c:pt>
                <c:pt idx="645">
                  <c:v>45177</c:v>
                </c:pt>
                <c:pt idx="646">
                  <c:v>45180</c:v>
                </c:pt>
                <c:pt idx="647">
                  <c:v>45181</c:v>
                </c:pt>
                <c:pt idx="648">
                  <c:v>45182</c:v>
                </c:pt>
                <c:pt idx="649">
                  <c:v>45183</c:v>
                </c:pt>
                <c:pt idx="650">
                  <c:v>45184</c:v>
                </c:pt>
                <c:pt idx="651">
                  <c:v>45187</c:v>
                </c:pt>
                <c:pt idx="652">
                  <c:v>45189</c:v>
                </c:pt>
                <c:pt idx="653">
                  <c:v>45190</c:v>
                </c:pt>
                <c:pt idx="654">
                  <c:v>45191</c:v>
                </c:pt>
                <c:pt idx="655">
                  <c:v>45194</c:v>
                </c:pt>
                <c:pt idx="656">
                  <c:v>45195</c:v>
                </c:pt>
                <c:pt idx="657">
                  <c:v>45196</c:v>
                </c:pt>
                <c:pt idx="658">
                  <c:v>45197</c:v>
                </c:pt>
                <c:pt idx="659">
                  <c:v>45198</c:v>
                </c:pt>
                <c:pt idx="660">
                  <c:v>45202</c:v>
                </c:pt>
                <c:pt idx="661">
                  <c:v>45203</c:v>
                </c:pt>
                <c:pt idx="662">
                  <c:v>45204</c:v>
                </c:pt>
                <c:pt idx="663">
                  <c:v>45205</c:v>
                </c:pt>
                <c:pt idx="664">
                  <c:v>45208</c:v>
                </c:pt>
                <c:pt idx="665">
                  <c:v>45209</c:v>
                </c:pt>
                <c:pt idx="666">
                  <c:v>45210</c:v>
                </c:pt>
                <c:pt idx="667">
                  <c:v>45211</c:v>
                </c:pt>
                <c:pt idx="668">
                  <c:v>45212</c:v>
                </c:pt>
                <c:pt idx="669">
                  <c:v>45215</c:v>
                </c:pt>
                <c:pt idx="670">
                  <c:v>45216</c:v>
                </c:pt>
                <c:pt idx="671">
                  <c:v>45217</c:v>
                </c:pt>
                <c:pt idx="672">
                  <c:v>45218</c:v>
                </c:pt>
                <c:pt idx="673">
                  <c:v>45219</c:v>
                </c:pt>
                <c:pt idx="674">
                  <c:v>45222</c:v>
                </c:pt>
                <c:pt idx="675">
                  <c:v>45224</c:v>
                </c:pt>
                <c:pt idx="676">
                  <c:v>45225</c:v>
                </c:pt>
                <c:pt idx="677">
                  <c:v>45226</c:v>
                </c:pt>
                <c:pt idx="678">
                  <c:v>45229</c:v>
                </c:pt>
                <c:pt idx="679">
                  <c:v>45230</c:v>
                </c:pt>
                <c:pt idx="680">
                  <c:v>45231</c:v>
                </c:pt>
                <c:pt idx="681">
                  <c:v>45232</c:v>
                </c:pt>
                <c:pt idx="682">
                  <c:v>45233</c:v>
                </c:pt>
                <c:pt idx="683">
                  <c:v>45236</c:v>
                </c:pt>
                <c:pt idx="684">
                  <c:v>45237</c:v>
                </c:pt>
                <c:pt idx="685">
                  <c:v>45238</c:v>
                </c:pt>
                <c:pt idx="686">
                  <c:v>45239</c:v>
                </c:pt>
                <c:pt idx="687">
                  <c:v>45240</c:v>
                </c:pt>
                <c:pt idx="688">
                  <c:v>45243</c:v>
                </c:pt>
                <c:pt idx="689">
                  <c:v>45245</c:v>
                </c:pt>
                <c:pt idx="690">
                  <c:v>45246</c:v>
                </c:pt>
                <c:pt idx="691">
                  <c:v>45247</c:v>
                </c:pt>
                <c:pt idx="692">
                  <c:v>45250</c:v>
                </c:pt>
                <c:pt idx="693">
                  <c:v>45251</c:v>
                </c:pt>
                <c:pt idx="694">
                  <c:v>45252</c:v>
                </c:pt>
                <c:pt idx="695">
                  <c:v>45253</c:v>
                </c:pt>
                <c:pt idx="696">
                  <c:v>45254</c:v>
                </c:pt>
                <c:pt idx="697">
                  <c:v>45258</c:v>
                </c:pt>
                <c:pt idx="698">
                  <c:v>45259</c:v>
                </c:pt>
                <c:pt idx="699">
                  <c:v>45260</c:v>
                </c:pt>
                <c:pt idx="700">
                  <c:v>45261</c:v>
                </c:pt>
                <c:pt idx="701">
                  <c:v>45264</c:v>
                </c:pt>
                <c:pt idx="702">
                  <c:v>45265</c:v>
                </c:pt>
                <c:pt idx="703">
                  <c:v>45266</c:v>
                </c:pt>
                <c:pt idx="704">
                  <c:v>45267</c:v>
                </c:pt>
                <c:pt idx="705">
                  <c:v>45268</c:v>
                </c:pt>
                <c:pt idx="706">
                  <c:v>45271</c:v>
                </c:pt>
                <c:pt idx="707">
                  <c:v>45272</c:v>
                </c:pt>
                <c:pt idx="708">
                  <c:v>45273</c:v>
                </c:pt>
                <c:pt idx="709">
                  <c:v>45274</c:v>
                </c:pt>
                <c:pt idx="710">
                  <c:v>45275</c:v>
                </c:pt>
                <c:pt idx="711">
                  <c:v>45278</c:v>
                </c:pt>
                <c:pt idx="712">
                  <c:v>45279</c:v>
                </c:pt>
                <c:pt idx="713">
                  <c:v>45280</c:v>
                </c:pt>
                <c:pt idx="714">
                  <c:v>45281</c:v>
                </c:pt>
                <c:pt idx="715">
                  <c:v>45282</c:v>
                </c:pt>
                <c:pt idx="716">
                  <c:v>45286</c:v>
                </c:pt>
                <c:pt idx="717">
                  <c:v>45287</c:v>
                </c:pt>
                <c:pt idx="718">
                  <c:v>45288</c:v>
                </c:pt>
                <c:pt idx="719">
                  <c:v>45289</c:v>
                </c:pt>
                <c:pt idx="720">
                  <c:v>45292</c:v>
                </c:pt>
                <c:pt idx="721">
                  <c:v>45293</c:v>
                </c:pt>
                <c:pt idx="722">
                  <c:v>45294</c:v>
                </c:pt>
                <c:pt idx="723">
                  <c:v>45295</c:v>
                </c:pt>
                <c:pt idx="724">
                  <c:v>45296</c:v>
                </c:pt>
                <c:pt idx="725">
                  <c:v>45299</c:v>
                </c:pt>
                <c:pt idx="726">
                  <c:v>45300</c:v>
                </c:pt>
                <c:pt idx="727">
                  <c:v>45301</c:v>
                </c:pt>
                <c:pt idx="728">
                  <c:v>45302</c:v>
                </c:pt>
                <c:pt idx="729">
                  <c:v>45303</c:v>
                </c:pt>
                <c:pt idx="730">
                  <c:v>45306</c:v>
                </c:pt>
                <c:pt idx="731">
                  <c:v>45307</c:v>
                </c:pt>
                <c:pt idx="732">
                  <c:v>45308</c:v>
                </c:pt>
                <c:pt idx="733">
                  <c:v>45309</c:v>
                </c:pt>
                <c:pt idx="734">
                  <c:v>45310</c:v>
                </c:pt>
                <c:pt idx="735">
                  <c:v>45314</c:v>
                </c:pt>
                <c:pt idx="736">
                  <c:v>45315</c:v>
                </c:pt>
                <c:pt idx="737">
                  <c:v>45316</c:v>
                </c:pt>
                <c:pt idx="738">
                  <c:v>45320</c:v>
                </c:pt>
                <c:pt idx="739">
                  <c:v>45321</c:v>
                </c:pt>
                <c:pt idx="740">
                  <c:v>45322</c:v>
                </c:pt>
                <c:pt idx="741">
                  <c:v>45323</c:v>
                </c:pt>
                <c:pt idx="742">
                  <c:v>45324</c:v>
                </c:pt>
                <c:pt idx="743">
                  <c:v>45327</c:v>
                </c:pt>
                <c:pt idx="744">
                  <c:v>45328</c:v>
                </c:pt>
                <c:pt idx="745">
                  <c:v>45329</c:v>
                </c:pt>
                <c:pt idx="746">
                  <c:v>45330</c:v>
                </c:pt>
                <c:pt idx="747">
                  <c:v>45331</c:v>
                </c:pt>
                <c:pt idx="748">
                  <c:v>45334</c:v>
                </c:pt>
                <c:pt idx="749">
                  <c:v>45335</c:v>
                </c:pt>
                <c:pt idx="750">
                  <c:v>45336</c:v>
                </c:pt>
                <c:pt idx="751">
                  <c:v>45337</c:v>
                </c:pt>
                <c:pt idx="752">
                  <c:v>45338</c:v>
                </c:pt>
                <c:pt idx="753">
                  <c:v>45341</c:v>
                </c:pt>
                <c:pt idx="754">
                  <c:v>45342</c:v>
                </c:pt>
                <c:pt idx="755">
                  <c:v>45343</c:v>
                </c:pt>
                <c:pt idx="756">
                  <c:v>45344</c:v>
                </c:pt>
                <c:pt idx="757">
                  <c:v>45345</c:v>
                </c:pt>
                <c:pt idx="758">
                  <c:v>45348</c:v>
                </c:pt>
                <c:pt idx="759">
                  <c:v>45349</c:v>
                </c:pt>
                <c:pt idx="760">
                  <c:v>45350</c:v>
                </c:pt>
                <c:pt idx="761">
                  <c:v>45351</c:v>
                </c:pt>
                <c:pt idx="762">
                  <c:v>45352</c:v>
                </c:pt>
                <c:pt idx="763">
                  <c:v>45355</c:v>
                </c:pt>
                <c:pt idx="764">
                  <c:v>45356</c:v>
                </c:pt>
                <c:pt idx="765">
                  <c:v>45357</c:v>
                </c:pt>
                <c:pt idx="766">
                  <c:v>45358</c:v>
                </c:pt>
                <c:pt idx="767">
                  <c:v>45362</c:v>
                </c:pt>
                <c:pt idx="768">
                  <c:v>45363</c:v>
                </c:pt>
                <c:pt idx="769">
                  <c:v>45364</c:v>
                </c:pt>
                <c:pt idx="770">
                  <c:v>45365</c:v>
                </c:pt>
                <c:pt idx="771">
                  <c:v>45366</c:v>
                </c:pt>
                <c:pt idx="772">
                  <c:v>45369</c:v>
                </c:pt>
                <c:pt idx="773">
                  <c:v>45370</c:v>
                </c:pt>
                <c:pt idx="774">
                  <c:v>45371</c:v>
                </c:pt>
                <c:pt idx="775">
                  <c:v>45372</c:v>
                </c:pt>
                <c:pt idx="776">
                  <c:v>45373</c:v>
                </c:pt>
                <c:pt idx="777">
                  <c:v>45377</c:v>
                </c:pt>
                <c:pt idx="778">
                  <c:v>45378</c:v>
                </c:pt>
                <c:pt idx="779">
                  <c:v>45379</c:v>
                </c:pt>
                <c:pt idx="780">
                  <c:v>45383</c:v>
                </c:pt>
                <c:pt idx="781">
                  <c:v>45384</c:v>
                </c:pt>
                <c:pt idx="782">
                  <c:v>45385</c:v>
                </c:pt>
                <c:pt idx="783">
                  <c:v>45386</c:v>
                </c:pt>
                <c:pt idx="784">
                  <c:v>45387</c:v>
                </c:pt>
                <c:pt idx="785">
                  <c:v>45390</c:v>
                </c:pt>
                <c:pt idx="786">
                  <c:v>45391</c:v>
                </c:pt>
                <c:pt idx="787">
                  <c:v>45392</c:v>
                </c:pt>
                <c:pt idx="788">
                  <c:v>45394</c:v>
                </c:pt>
                <c:pt idx="789">
                  <c:v>45397</c:v>
                </c:pt>
                <c:pt idx="790">
                  <c:v>45398</c:v>
                </c:pt>
                <c:pt idx="791">
                  <c:v>45400</c:v>
                </c:pt>
                <c:pt idx="792">
                  <c:v>45401</c:v>
                </c:pt>
                <c:pt idx="793">
                  <c:v>45404</c:v>
                </c:pt>
                <c:pt idx="794">
                  <c:v>45405</c:v>
                </c:pt>
                <c:pt idx="795">
                  <c:v>45406</c:v>
                </c:pt>
                <c:pt idx="796">
                  <c:v>45407</c:v>
                </c:pt>
                <c:pt idx="797">
                  <c:v>45408</c:v>
                </c:pt>
                <c:pt idx="798">
                  <c:v>45411</c:v>
                </c:pt>
                <c:pt idx="799">
                  <c:v>45412</c:v>
                </c:pt>
                <c:pt idx="800">
                  <c:v>45414</c:v>
                </c:pt>
                <c:pt idx="801">
                  <c:v>45415</c:v>
                </c:pt>
                <c:pt idx="802">
                  <c:v>45418</c:v>
                </c:pt>
                <c:pt idx="803">
                  <c:v>45419</c:v>
                </c:pt>
                <c:pt idx="804">
                  <c:v>45420</c:v>
                </c:pt>
                <c:pt idx="805">
                  <c:v>45421</c:v>
                </c:pt>
                <c:pt idx="806">
                  <c:v>45422</c:v>
                </c:pt>
                <c:pt idx="807">
                  <c:v>45425</c:v>
                </c:pt>
                <c:pt idx="808">
                  <c:v>45426</c:v>
                </c:pt>
                <c:pt idx="809">
                  <c:v>45427</c:v>
                </c:pt>
                <c:pt idx="810">
                  <c:v>45428</c:v>
                </c:pt>
                <c:pt idx="811">
                  <c:v>45429</c:v>
                </c:pt>
                <c:pt idx="812">
                  <c:v>45433</c:v>
                </c:pt>
                <c:pt idx="813">
                  <c:v>45434</c:v>
                </c:pt>
                <c:pt idx="814">
                  <c:v>45435</c:v>
                </c:pt>
                <c:pt idx="815">
                  <c:v>45436</c:v>
                </c:pt>
                <c:pt idx="816">
                  <c:v>45439</c:v>
                </c:pt>
                <c:pt idx="817">
                  <c:v>45440</c:v>
                </c:pt>
                <c:pt idx="818">
                  <c:v>45441</c:v>
                </c:pt>
                <c:pt idx="819">
                  <c:v>45442</c:v>
                </c:pt>
                <c:pt idx="820">
                  <c:v>45443</c:v>
                </c:pt>
                <c:pt idx="821">
                  <c:v>45446</c:v>
                </c:pt>
                <c:pt idx="822">
                  <c:v>45447</c:v>
                </c:pt>
                <c:pt idx="823">
                  <c:v>45448</c:v>
                </c:pt>
                <c:pt idx="824">
                  <c:v>45449</c:v>
                </c:pt>
                <c:pt idx="825">
                  <c:v>45450</c:v>
                </c:pt>
                <c:pt idx="826">
                  <c:v>45453</c:v>
                </c:pt>
                <c:pt idx="827">
                  <c:v>45454</c:v>
                </c:pt>
                <c:pt idx="828">
                  <c:v>45455</c:v>
                </c:pt>
                <c:pt idx="829">
                  <c:v>45456</c:v>
                </c:pt>
                <c:pt idx="830">
                  <c:v>45457</c:v>
                </c:pt>
                <c:pt idx="831">
                  <c:v>45461</c:v>
                </c:pt>
                <c:pt idx="832">
                  <c:v>45462</c:v>
                </c:pt>
                <c:pt idx="833">
                  <c:v>45463</c:v>
                </c:pt>
                <c:pt idx="834">
                  <c:v>45464</c:v>
                </c:pt>
                <c:pt idx="835">
                  <c:v>45467</c:v>
                </c:pt>
                <c:pt idx="836">
                  <c:v>45468</c:v>
                </c:pt>
                <c:pt idx="837">
                  <c:v>45469</c:v>
                </c:pt>
                <c:pt idx="838">
                  <c:v>45470</c:v>
                </c:pt>
                <c:pt idx="839">
                  <c:v>45471</c:v>
                </c:pt>
                <c:pt idx="840">
                  <c:v>45474</c:v>
                </c:pt>
                <c:pt idx="841">
                  <c:v>45475</c:v>
                </c:pt>
                <c:pt idx="842">
                  <c:v>45476</c:v>
                </c:pt>
                <c:pt idx="843">
                  <c:v>45477</c:v>
                </c:pt>
                <c:pt idx="844">
                  <c:v>45478</c:v>
                </c:pt>
                <c:pt idx="845">
                  <c:v>45481</c:v>
                </c:pt>
                <c:pt idx="846">
                  <c:v>45482</c:v>
                </c:pt>
                <c:pt idx="847">
                  <c:v>45483</c:v>
                </c:pt>
                <c:pt idx="848">
                  <c:v>45484</c:v>
                </c:pt>
                <c:pt idx="849">
                  <c:v>45485</c:v>
                </c:pt>
                <c:pt idx="850">
                  <c:v>45488</c:v>
                </c:pt>
                <c:pt idx="851">
                  <c:v>45489</c:v>
                </c:pt>
                <c:pt idx="852">
                  <c:v>45491</c:v>
                </c:pt>
                <c:pt idx="853">
                  <c:v>45492</c:v>
                </c:pt>
                <c:pt idx="854">
                  <c:v>45495</c:v>
                </c:pt>
                <c:pt idx="855">
                  <c:v>45496</c:v>
                </c:pt>
                <c:pt idx="856">
                  <c:v>45497</c:v>
                </c:pt>
                <c:pt idx="857">
                  <c:v>45498</c:v>
                </c:pt>
                <c:pt idx="858">
                  <c:v>45499</c:v>
                </c:pt>
                <c:pt idx="859">
                  <c:v>45502</c:v>
                </c:pt>
                <c:pt idx="860">
                  <c:v>45503</c:v>
                </c:pt>
                <c:pt idx="861">
                  <c:v>45504</c:v>
                </c:pt>
                <c:pt idx="862">
                  <c:v>45505</c:v>
                </c:pt>
                <c:pt idx="863">
                  <c:v>45506</c:v>
                </c:pt>
                <c:pt idx="864">
                  <c:v>45509</c:v>
                </c:pt>
                <c:pt idx="865">
                  <c:v>45510</c:v>
                </c:pt>
                <c:pt idx="866">
                  <c:v>45511</c:v>
                </c:pt>
                <c:pt idx="867">
                  <c:v>45512</c:v>
                </c:pt>
                <c:pt idx="868">
                  <c:v>45513</c:v>
                </c:pt>
                <c:pt idx="869">
                  <c:v>45516</c:v>
                </c:pt>
                <c:pt idx="870">
                  <c:v>45517</c:v>
                </c:pt>
                <c:pt idx="871">
                  <c:v>45518</c:v>
                </c:pt>
                <c:pt idx="872">
                  <c:v>45520</c:v>
                </c:pt>
                <c:pt idx="873">
                  <c:v>45523</c:v>
                </c:pt>
                <c:pt idx="874">
                  <c:v>45524</c:v>
                </c:pt>
                <c:pt idx="875">
                  <c:v>45525</c:v>
                </c:pt>
                <c:pt idx="876">
                  <c:v>45526</c:v>
                </c:pt>
                <c:pt idx="877">
                  <c:v>45527</c:v>
                </c:pt>
                <c:pt idx="878">
                  <c:v>45530</c:v>
                </c:pt>
                <c:pt idx="879">
                  <c:v>45531</c:v>
                </c:pt>
                <c:pt idx="880">
                  <c:v>45532</c:v>
                </c:pt>
                <c:pt idx="881">
                  <c:v>45533</c:v>
                </c:pt>
                <c:pt idx="882">
                  <c:v>45534</c:v>
                </c:pt>
                <c:pt idx="883">
                  <c:v>45537</c:v>
                </c:pt>
                <c:pt idx="884">
                  <c:v>45538</c:v>
                </c:pt>
                <c:pt idx="885">
                  <c:v>45539</c:v>
                </c:pt>
                <c:pt idx="886">
                  <c:v>45540</c:v>
                </c:pt>
                <c:pt idx="887">
                  <c:v>45541</c:v>
                </c:pt>
                <c:pt idx="888">
                  <c:v>45544</c:v>
                </c:pt>
                <c:pt idx="889">
                  <c:v>45545</c:v>
                </c:pt>
                <c:pt idx="890">
                  <c:v>45546</c:v>
                </c:pt>
                <c:pt idx="891">
                  <c:v>45547</c:v>
                </c:pt>
                <c:pt idx="892">
                  <c:v>45548</c:v>
                </c:pt>
                <c:pt idx="893">
                  <c:v>45551</c:v>
                </c:pt>
                <c:pt idx="894">
                  <c:v>45552</c:v>
                </c:pt>
                <c:pt idx="895">
                  <c:v>45553</c:v>
                </c:pt>
                <c:pt idx="896">
                  <c:v>45554</c:v>
                </c:pt>
                <c:pt idx="897">
                  <c:v>45555</c:v>
                </c:pt>
                <c:pt idx="898">
                  <c:v>45558</c:v>
                </c:pt>
                <c:pt idx="899">
                  <c:v>45559</c:v>
                </c:pt>
                <c:pt idx="900">
                  <c:v>45560</c:v>
                </c:pt>
                <c:pt idx="901">
                  <c:v>45561</c:v>
                </c:pt>
                <c:pt idx="902">
                  <c:v>45562</c:v>
                </c:pt>
                <c:pt idx="903">
                  <c:v>45565</c:v>
                </c:pt>
                <c:pt idx="904">
                  <c:v>45566</c:v>
                </c:pt>
                <c:pt idx="905">
                  <c:v>45568</c:v>
                </c:pt>
                <c:pt idx="906">
                  <c:v>45569</c:v>
                </c:pt>
                <c:pt idx="907">
                  <c:v>45572</c:v>
                </c:pt>
                <c:pt idx="908">
                  <c:v>45573</c:v>
                </c:pt>
                <c:pt idx="909">
                  <c:v>45574</c:v>
                </c:pt>
                <c:pt idx="910">
                  <c:v>45575</c:v>
                </c:pt>
                <c:pt idx="911">
                  <c:v>45576</c:v>
                </c:pt>
                <c:pt idx="912">
                  <c:v>45579</c:v>
                </c:pt>
                <c:pt idx="913">
                  <c:v>45580</c:v>
                </c:pt>
                <c:pt idx="914">
                  <c:v>45581</c:v>
                </c:pt>
                <c:pt idx="915">
                  <c:v>45582</c:v>
                </c:pt>
                <c:pt idx="916">
                  <c:v>45583</c:v>
                </c:pt>
                <c:pt idx="917">
                  <c:v>45586</c:v>
                </c:pt>
                <c:pt idx="918">
                  <c:v>45587</c:v>
                </c:pt>
                <c:pt idx="919">
                  <c:v>45588</c:v>
                </c:pt>
                <c:pt idx="920">
                  <c:v>45589</c:v>
                </c:pt>
                <c:pt idx="921">
                  <c:v>45590</c:v>
                </c:pt>
                <c:pt idx="922">
                  <c:v>45593</c:v>
                </c:pt>
                <c:pt idx="923">
                  <c:v>45594</c:v>
                </c:pt>
                <c:pt idx="924">
                  <c:v>45595</c:v>
                </c:pt>
                <c:pt idx="925">
                  <c:v>45596</c:v>
                </c:pt>
                <c:pt idx="926">
                  <c:v>45600</c:v>
                </c:pt>
                <c:pt idx="927">
                  <c:v>45601</c:v>
                </c:pt>
                <c:pt idx="928">
                  <c:v>45602</c:v>
                </c:pt>
                <c:pt idx="929">
                  <c:v>45603</c:v>
                </c:pt>
                <c:pt idx="930">
                  <c:v>45604</c:v>
                </c:pt>
                <c:pt idx="931">
                  <c:v>45607</c:v>
                </c:pt>
                <c:pt idx="932">
                  <c:v>45608</c:v>
                </c:pt>
                <c:pt idx="933">
                  <c:v>45609</c:v>
                </c:pt>
                <c:pt idx="934">
                  <c:v>45610</c:v>
                </c:pt>
                <c:pt idx="935">
                  <c:v>45614</c:v>
                </c:pt>
                <c:pt idx="936">
                  <c:v>45615</c:v>
                </c:pt>
                <c:pt idx="937">
                  <c:v>45617</c:v>
                </c:pt>
                <c:pt idx="938">
                  <c:v>45618</c:v>
                </c:pt>
                <c:pt idx="939">
                  <c:v>45621</c:v>
                </c:pt>
                <c:pt idx="940">
                  <c:v>45622</c:v>
                </c:pt>
                <c:pt idx="941">
                  <c:v>45623</c:v>
                </c:pt>
                <c:pt idx="942">
                  <c:v>45624</c:v>
                </c:pt>
                <c:pt idx="943">
                  <c:v>45625</c:v>
                </c:pt>
                <c:pt idx="944">
                  <c:v>45628</c:v>
                </c:pt>
                <c:pt idx="945">
                  <c:v>45629</c:v>
                </c:pt>
                <c:pt idx="946">
                  <c:v>45630</c:v>
                </c:pt>
                <c:pt idx="947">
                  <c:v>45631</c:v>
                </c:pt>
                <c:pt idx="948">
                  <c:v>45632</c:v>
                </c:pt>
                <c:pt idx="949">
                  <c:v>45635</c:v>
                </c:pt>
                <c:pt idx="950">
                  <c:v>45636</c:v>
                </c:pt>
                <c:pt idx="951">
                  <c:v>45637</c:v>
                </c:pt>
                <c:pt idx="952">
                  <c:v>45638</c:v>
                </c:pt>
                <c:pt idx="953">
                  <c:v>45639</c:v>
                </c:pt>
                <c:pt idx="954">
                  <c:v>45642</c:v>
                </c:pt>
                <c:pt idx="955">
                  <c:v>45643</c:v>
                </c:pt>
                <c:pt idx="956">
                  <c:v>45644</c:v>
                </c:pt>
                <c:pt idx="957">
                  <c:v>45645</c:v>
                </c:pt>
                <c:pt idx="958">
                  <c:v>45646</c:v>
                </c:pt>
                <c:pt idx="959">
                  <c:v>45649</c:v>
                </c:pt>
                <c:pt idx="960">
                  <c:v>45650</c:v>
                </c:pt>
                <c:pt idx="961">
                  <c:v>45652</c:v>
                </c:pt>
                <c:pt idx="962">
                  <c:v>45653</c:v>
                </c:pt>
                <c:pt idx="963">
                  <c:v>45656</c:v>
                </c:pt>
                <c:pt idx="964">
                  <c:v>45657</c:v>
                </c:pt>
                <c:pt idx="965">
                  <c:v>45658</c:v>
                </c:pt>
                <c:pt idx="966">
                  <c:v>45659</c:v>
                </c:pt>
                <c:pt idx="967">
                  <c:v>45660</c:v>
                </c:pt>
                <c:pt idx="968">
                  <c:v>45663</c:v>
                </c:pt>
                <c:pt idx="969">
                  <c:v>45664</c:v>
                </c:pt>
                <c:pt idx="970">
                  <c:v>45665</c:v>
                </c:pt>
                <c:pt idx="971">
                  <c:v>45666</c:v>
                </c:pt>
                <c:pt idx="972">
                  <c:v>45667</c:v>
                </c:pt>
                <c:pt idx="973">
                  <c:v>45670</c:v>
                </c:pt>
                <c:pt idx="974">
                  <c:v>45671</c:v>
                </c:pt>
                <c:pt idx="975">
                  <c:v>45672</c:v>
                </c:pt>
                <c:pt idx="976">
                  <c:v>45673</c:v>
                </c:pt>
                <c:pt idx="977">
                  <c:v>45674</c:v>
                </c:pt>
                <c:pt idx="978">
                  <c:v>45677</c:v>
                </c:pt>
                <c:pt idx="979">
                  <c:v>45678</c:v>
                </c:pt>
                <c:pt idx="980">
                  <c:v>45679</c:v>
                </c:pt>
                <c:pt idx="981">
                  <c:v>45680</c:v>
                </c:pt>
                <c:pt idx="982">
                  <c:v>45681</c:v>
                </c:pt>
                <c:pt idx="983">
                  <c:v>45684</c:v>
                </c:pt>
                <c:pt idx="984">
                  <c:v>45685</c:v>
                </c:pt>
                <c:pt idx="985">
                  <c:v>45686</c:v>
                </c:pt>
                <c:pt idx="986">
                  <c:v>45687</c:v>
                </c:pt>
                <c:pt idx="987">
                  <c:v>45688</c:v>
                </c:pt>
                <c:pt idx="988">
                  <c:v>45691</c:v>
                </c:pt>
                <c:pt idx="989">
                  <c:v>45692</c:v>
                </c:pt>
                <c:pt idx="990">
                  <c:v>45693</c:v>
                </c:pt>
                <c:pt idx="991">
                  <c:v>45694</c:v>
                </c:pt>
                <c:pt idx="992">
                  <c:v>45695</c:v>
                </c:pt>
                <c:pt idx="993">
                  <c:v>45698</c:v>
                </c:pt>
                <c:pt idx="994">
                  <c:v>45699</c:v>
                </c:pt>
                <c:pt idx="995">
                  <c:v>45700</c:v>
                </c:pt>
                <c:pt idx="996">
                  <c:v>45701</c:v>
                </c:pt>
                <c:pt idx="997">
                  <c:v>45702</c:v>
                </c:pt>
                <c:pt idx="998">
                  <c:v>45705</c:v>
                </c:pt>
                <c:pt idx="999">
                  <c:v>45706</c:v>
                </c:pt>
                <c:pt idx="1000">
                  <c:v>45707</c:v>
                </c:pt>
                <c:pt idx="1001">
                  <c:v>45708</c:v>
                </c:pt>
                <c:pt idx="1002">
                  <c:v>45709</c:v>
                </c:pt>
                <c:pt idx="1003">
                  <c:v>45712</c:v>
                </c:pt>
                <c:pt idx="1004">
                  <c:v>45713</c:v>
                </c:pt>
                <c:pt idx="1005">
                  <c:v>45715</c:v>
                </c:pt>
                <c:pt idx="1006">
                  <c:v>45716</c:v>
                </c:pt>
              </c:numCache>
            </c:numRef>
          </c:cat>
          <c:val>
            <c:numRef>
              <c:f>Sheet2!$C$2:$C$1008</c:f>
              <c:numCache>
                <c:formatCode>General</c:formatCode>
                <c:ptCount val="1007"/>
                <c:pt idx="0">
                  <c:v>57744414</c:v>
                </c:pt>
                <c:pt idx="1">
                  <c:v>48457781</c:v>
                </c:pt>
                <c:pt idx="2">
                  <c:v>53643263</c:v>
                </c:pt>
                <c:pt idx="3">
                  <c:v>105818897</c:v>
                </c:pt>
                <c:pt idx="4">
                  <c:v>125490301</c:v>
                </c:pt>
                <c:pt idx="5">
                  <c:v>41495834</c:v>
                </c:pt>
                <c:pt idx="6">
                  <c:v>70655961</c:v>
                </c:pt>
                <c:pt idx="7">
                  <c:v>47283127</c:v>
                </c:pt>
                <c:pt idx="8">
                  <c:v>43631374</c:v>
                </c:pt>
                <c:pt idx="9">
                  <c:v>110568108</c:v>
                </c:pt>
                <c:pt idx="10">
                  <c:v>31776555</c:v>
                </c:pt>
                <c:pt idx="11">
                  <c:v>29148891</c:v>
                </c:pt>
                <c:pt idx="12">
                  <c:v>19850516</c:v>
                </c:pt>
                <c:pt idx="13">
                  <c:v>24070563</c:v>
                </c:pt>
                <c:pt idx="14">
                  <c:v>28125203</c:v>
                </c:pt>
                <c:pt idx="15">
                  <c:v>51546288</c:v>
                </c:pt>
                <c:pt idx="16">
                  <c:v>26675953</c:v>
                </c:pt>
                <c:pt idx="17">
                  <c:v>13160617</c:v>
                </c:pt>
                <c:pt idx="18">
                  <c:v>25954142</c:v>
                </c:pt>
                <c:pt idx="19">
                  <c:v>43429293</c:v>
                </c:pt>
                <c:pt idx="20">
                  <c:v>16225536</c:v>
                </c:pt>
                <c:pt idx="21">
                  <c:v>25604169</c:v>
                </c:pt>
                <c:pt idx="22">
                  <c:v>20846117</c:v>
                </c:pt>
                <c:pt idx="23">
                  <c:v>24899212</c:v>
                </c:pt>
                <c:pt idx="24">
                  <c:v>17323590</c:v>
                </c:pt>
                <c:pt idx="25">
                  <c:v>22988740</c:v>
                </c:pt>
                <c:pt idx="26">
                  <c:v>22593086</c:v>
                </c:pt>
                <c:pt idx="27">
                  <c:v>19603214</c:v>
                </c:pt>
                <c:pt idx="28">
                  <c:v>30787960</c:v>
                </c:pt>
                <c:pt idx="29">
                  <c:v>41115906</c:v>
                </c:pt>
                <c:pt idx="30">
                  <c:v>48763187</c:v>
                </c:pt>
                <c:pt idx="31">
                  <c:v>78578698</c:v>
                </c:pt>
                <c:pt idx="32">
                  <c:v>91993104</c:v>
                </c:pt>
                <c:pt idx="33">
                  <c:v>134184994</c:v>
                </c:pt>
                <c:pt idx="34">
                  <c:v>46050245</c:v>
                </c:pt>
                <c:pt idx="35">
                  <c:v>41564683</c:v>
                </c:pt>
                <c:pt idx="36">
                  <c:v>27609243</c:v>
                </c:pt>
                <c:pt idx="37">
                  <c:v>40681282</c:v>
                </c:pt>
                <c:pt idx="38">
                  <c:v>26079435</c:v>
                </c:pt>
                <c:pt idx="39">
                  <c:v>27792437</c:v>
                </c:pt>
                <c:pt idx="40">
                  <c:v>36485322</c:v>
                </c:pt>
                <c:pt idx="41">
                  <c:v>29062762</c:v>
                </c:pt>
                <c:pt idx="42">
                  <c:v>31378045</c:v>
                </c:pt>
                <c:pt idx="43">
                  <c:v>25674227</c:v>
                </c:pt>
                <c:pt idx="44">
                  <c:v>15204883</c:v>
                </c:pt>
                <c:pt idx="45">
                  <c:v>14116874</c:v>
                </c:pt>
                <c:pt idx="46">
                  <c:v>16364247</c:v>
                </c:pt>
                <c:pt idx="47">
                  <c:v>34511670</c:v>
                </c:pt>
                <c:pt idx="48">
                  <c:v>20247639</c:v>
                </c:pt>
                <c:pt idx="49">
                  <c:v>17530742</c:v>
                </c:pt>
                <c:pt idx="50">
                  <c:v>13311926</c:v>
                </c:pt>
                <c:pt idx="51">
                  <c:v>15792299</c:v>
                </c:pt>
                <c:pt idx="52">
                  <c:v>21364882</c:v>
                </c:pt>
                <c:pt idx="53">
                  <c:v>23139735</c:v>
                </c:pt>
                <c:pt idx="54">
                  <c:v>19625381</c:v>
                </c:pt>
                <c:pt idx="55">
                  <c:v>19886214</c:v>
                </c:pt>
                <c:pt idx="56">
                  <c:v>11444814</c:v>
                </c:pt>
                <c:pt idx="57">
                  <c:v>12708021</c:v>
                </c:pt>
                <c:pt idx="58">
                  <c:v>13096755</c:v>
                </c:pt>
                <c:pt idx="59">
                  <c:v>16495657</c:v>
                </c:pt>
                <c:pt idx="60">
                  <c:v>20611626</c:v>
                </c:pt>
                <c:pt idx="61">
                  <c:v>18259282</c:v>
                </c:pt>
                <c:pt idx="62">
                  <c:v>13862655</c:v>
                </c:pt>
                <c:pt idx="63">
                  <c:v>14320889</c:v>
                </c:pt>
                <c:pt idx="64">
                  <c:v>19463495</c:v>
                </c:pt>
                <c:pt idx="65">
                  <c:v>16295368</c:v>
                </c:pt>
                <c:pt idx="66">
                  <c:v>13747541</c:v>
                </c:pt>
                <c:pt idx="67">
                  <c:v>16537612</c:v>
                </c:pt>
                <c:pt idx="68">
                  <c:v>61647120</c:v>
                </c:pt>
                <c:pt idx="69">
                  <c:v>38001828</c:v>
                </c:pt>
                <c:pt idx="70">
                  <c:v>30479551</c:v>
                </c:pt>
                <c:pt idx="71">
                  <c:v>24405319</c:v>
                </c:pt>
                <c:pt idx="72">
                  <c:v>20884367</c:v>
                </c:pt>
                <c:pt idx="73">
                  <c:v>22638020</c:v>
                </c:pt>
                <c:pt idx="74">
                  <c:v>28865798</c:v>
                </c:pt>
                <c:pt idx="75">
                  <c:v>25334878</c:v>
                </c:pt>
                <c:pt idx="76">
                  <c:v>17576137</c:v>
                </c:pt>
                <c:pt idx="77">
                  <c:v>47554219</c:v>
                </c:pt>
                <c:pt idx="78">
                  <c:v>25597550</c:v>
                </c:pt>
                <c:pt idx="79">
                  <c:v>73039531</c:v>
                </c:pt>
                <c:pt idx="80">
                  <c:v>38755111</c:v>
                </c:pt>
                <c:pt idx="81">
                  <c:v>96654991</c:v>
                </c:pt>
                <c:pt idx="82">
                  <c:v>46657520</c:v>
                </c:pt>
                <c:pt idx="83">
                  <c:v>30126021</c:v>
                </c:pt>
                <c:pt idx="84">
                  <c:v>31433280</c:v>
                </c:pt>
                <c:pt idx="85">
                  <c:v>21261361</c:v>
                </c:pt>
                <c:pt idx="86">
                  <c:v>24887924</c:v>
                </c:pt>
                <c:pt idx="87">
                  <c:v>30719587</c:v>
                </c:pt>
                <c:pt idx="88">
                  <c:v>21424291</c:v>
                </c:pt>
                <c:pt idx="89">
                  <c:v>17677889</c:v>
                </c:pt>
                <c:pt idx="90">
                  <c:v>14854294</c:v>
                </c:pt>
                <c:pt idx="91">
                  <c:v>20104244</c:v>
                </c:pt>
                <c:pt idx="92">
                  <c:v>21476893</c:v>
                </c:pt>
                <c:pt idx="93">
                  <c:v>23567549</c:v>
                </c:pt>
                <c:pt idx="94">
                  <c:v>19074685</c:v>
                </c:pt>
                <c:pt idx="95">
                  <c:v>18042675</c:v>
                </c:pt>
                <c:pt idx="96">
                  <c:v>12575210</c:v>
                </c:pt>
                <c:pt idx="97">
                  <c:v>22435272</c:v>
                </c:pt>
                <c:pt idx="98">
                  <c:v>13877208</c:v>
                </c:pt>
                <c:pt idx="99">
                  <c:v>14627153</c:v>
                </c:pt>
                <c:pt idx="100">
                  <c:v>13326068</c:v>
                </c:pt>
                <c:pt idx="101">
                  <c:v>15942408</c:v>
                </c:pt>
                <c:pt idx="102">
                  <c:v>10191296</c:v>
                </c:pt>
                <c:pt idx="103">
                  <c:v>12698779</c:v>
                </c:pt>
                <c:pt idx="104">
                  <c:v>10248249</c:v>
                </c:pt>
                <c:pt idx="105">
                  <c:v>11088659</c:v>
                </c:pt>
                <c:pt idx="106">
                  <c:v>17879443</c:v>
                </c:pt>
                <c:pt idx="107">
                  <c:v>20925008</c:v>
                </c:pt>
                <c:pt idx="108">
                  <c:v>11834045</c:v>
                </c:pt>
                <c:pt idx="109">
                  <c:v>13085323</c:v>
                </c:pt>
                <c:pt idx="110">
                  <c:v>10830411</c:v>
                </c:pt>
                <c:pt idx="111">
                  <c:v>20480406</c:v>
                </c:pt>
                <c:pt idx="112">
                  <c:v>28852257</c:v>
                </c:pt>
                <c:pt idx="113">
                  <c:v>29019824</c:v>
                </c:pt>
                <c:pt idx="114">
                  <c:v>16464973</c:v>
                </c:pt>
                <c:pt idx="115">
                  <c:v>23656813</c:v>
                </c:pt>
                <c:pt idx="116">
                  <c:v>18311537</c:v>
                </c:pt>
                <c:pt idx="117">
                  <c:v>44526781</c:v>
                </c:pt>
                <c:pt idx="118">
                  <c:v>47263771</c:v>
                </c:pt>
                <c:pt idx="119">
                  <c:v>24436949</c:v>
                </c:pt>
                <c:pt idx="120">
                  <c:v>14736840</c:v>
                </c:pt>
                <c:pt idx="121">
                  <c:v>15603733</c:v>
                </c:pt>
                <c:pt idx="122">
                  <c:v>14940336</c:v>
                </c:pt>
                <c:pt idx="123">
                  <c:v>9674128</c:v>
                </c:pt>
                <c:pt idx="124">
                  <c:v>18468527</c:v>
                </c:pt>
                <c:pt idx="125">
                  <c:v>10998260</c:v>
                </c:pt>
                <c:pt idx="126">
                  <c:v>47178466</c:v>
                </c:pt>
                <c:pt idx="127">
                  <c:v>23581637</c:v>
                </c:pt>
                <c:pt idx="128">
                  <c:v>20358146</c:v>
                </c:pt>
                <c:pt idx="129">
                  <c:v>18155926</c:v>
                </c:pt>
                <c:pt idx="130">
                  <c:v>15418634</c:v>
                </c:pt>
                <c:pt idx="131">
                  <c:v>27692208</c:v>
                </c:pt>
                <c:pt idx="132">
                  <c:v>18850939</c:v>
                </c:pt>
                <c:pt idx="133">
                  <c:v>11190075</c:v>
                </c:pt>
                <c:pt idx="134">
                  <c:v>7858486</c:v>
                </c:pt>
                <c:pt idx="135">
                  <c:v>10735658</c:v>
                </c:pt>
                <c:pt idx="136">
                  <c:v>19421004</c:v>
                </c:pt>
                <c:pt idx="137">
                  <c:v>9936365</c:v>
                </c:pt>
                <c:pt idx="138">
                  <c:v>12490094</c:v>
                </c:pt>
                <c:pt idx="139">
                  <c:v>10586894</c:v>
                </c:pt>
                <c:pt idx="140">
                  <c:v>14836173</c:v>
                </c:pt>
                <c:pt idx="141">
                  <c:v>10476384</c:v>
                </c:pt>
                <c:pt idx="142">
                  <c:v>12084844</c:v>
                </c:pt>
                <c:pt idx="143">
                  <c:v>25808430</c:v>
                </c:pt>
                <c:pt idx="144">
                  <c:v>16241960</c:v>
                </c:pt>
                <c:pt idx="145">
                  <c:v>14321164</c:v>
                </c:pt>
                <c:pt idx="146">
                  <c:v>10228853</c:v>
                </c:pt>
                <c:pt idx="147">
                  <c:v>10632156</c:v>
                </c:pt>
                <c:pt idx="148">
                  <c:v>37489544</c:v>
                </c:pt>
                <c:pt idx="149">
                  <c:v>17233315</c:v>
                </c:pt>
                <c:pt idx="150">
                  <c:v>19051252</c:v>
                </c:pt>
                <c:pt idx="151">
                  <c:v>16043896</c:v>
                </c:pt>
                <c:pt idx="152">
                  <c:v>19621849</c:v>
                </c:pt>
                <c:pt idx="153">
                  <c:v>20248758</c:v>
                </c:pt>
                <c:pt idx="154">
                  <c:v>149238901</c:v>
                </c:pt>
                <c:pt idx="155">
                  <c:v>79501805</c:v>
                </c:pt>
                <c:pt idx="156">
                  <c:v>70390969</c:v>
                </c:pt>
                <c:pt idx="157">
                  <c:v>56671832</c:v>
                </c:pt>
                <c:pt idx="158">
                  <c:v>52621868</c:v>
                </c:pt>
                <c:pt idx="159">
                  <c:v>21791090</c:v>
                </c:pt>
                <c:pt idx="160">
                  <c:v>24823291</c:v>
                </c:pt>
                <c:pt idx="161">
                  <c:v>22890540</c:v>
                </c:pt>
                <c:pt idx="162">
                  <c:v>15713947</c:v>
                </c:pt>
                <c:pt idx="163">
                  <c:v>15450046</c:v>
                </c:pt>
                <c:pt idx="164">
                  <c:v>16357902</c:v>
                </c:pt>
                <c:pt idx="165">
                  <c:v>15956143</c:v>
                </c:pt>
                <c:pt idx="166">
                  <c:v>10686552</c:v>
                </c:pt>
                <c:pt idx="167">
                  <c:v>9223597</c:v>
                </c:pt>
                <c:pt idx="168">
                  <c:v>17505160</c:v>
                </c:pt>
                <c:pt idx="169">
                  <c:v>10371535</c:v>
                </c:pt>
                <c:pt idx="170">
                  <c:v>9739240</c:v>
                </c:pt>
                <c:pt idx="171">
                  <c:v>21184428</c:v>
                </c:pt>
                <c:pt idx="172">
                  <c:v>29222028</c:v>
                </c:pt>
                <c:pt idx="173">
                  <c:v>50159625</c:v>
                </c:pt>
                <c:pt idx="174">
                  <c:v>85406902</c:v>
                </c:pt>
                <c:pt idx="175">
                  <c:v>60292901</c:v>
                </c:pt>
                <c:pt idx="176">
                  <c:v>59061766</c:v>
                </c:pt>
                <c:pt idx="177">
                  <c:v>47822165</c:v>
                </c:pt>
                <c:pt idx="178">
                  <c:v>22518727</c:v>
                </c:pt>
                <c:pt idx="179">
                  <c:v>35537151</c:v>
                </c:pt>
                <c:pt idx="180">
                  <c:v>22333919</c:v>
                </c:pt>
                <c:pt idx="181">
                  <c:v>18934170</c:v>
                </c:pt>
                <c:pt idx="182">
                  <c:v>25911499</c:v>
                </c:pt>
                <c:pt idx="183">
                  <c:v>46282465</c:v>
                </c:pt>
                <c:pt idx="184">
                  <c:v>26642108</c:v>
                </c:pt>
                <c:pt idx="185">
                  <c:v>23197539</c:v>
                </c:pt>
                <c:pt idx="186">
                  <c:v>14343859</c:v>
                </c:pt>
                <c:pt idx="187">
                  <c:v>17843327</c:v>
                </c:pt>
                <c:pt idx="188">
                  <c:v>7024796</c:v>
                </c:pt>
                <c:pt idx="189">
                  <c:v>20270558</c:v>
                </c:pt>
                <c:pt idx="190">
                  <c:v>11520817</c:v>
                </c:pt>
                <c:pt idx="191">
                  <c:v>13431108</c:v>
                </c:pt>
                <c:pt idx="192">
                  <c:v>8134962</c:v>
                </c:pt>
                <c:pt idx="193">
                  <c:v>11855531</c:v>
                </c:pt>
                <c:pt idx="194">
                  <c:v>38755267</c:v>
                </c:pt>
                <c:pt idx="195">
                  <c:v>14675969</c:v>
                </c:pt>
                <c:pt idx="196">
                  <c:v>46697822</c:v>
                </c:pt>
                <c:pt idx="197">
                  <c:v>20226071</c:v>
                </c:pt>
                <c:pt idx="198">
                  <c:v>22574227</c:v>
                </c:pt>
                <c:pt idx="199">
                  <c:v>13433385</c:v>
                </c:pt>
                <c:pt idx="200">
                  <c:v>14139854</c:v>
                </c:pt>
                <c:pt idx="201">
                  <c:v>23904846</c:v>
                </c:pt>
                <c:pt idx="202">
                  <c:v>27027022</c:v>
                </c:pt>
                <c:pt idx="203">
                  <c:v>22132952</c:v>
                </c:pt>
                <c:pt idx="204">
                  <c:v>23503453</c:v>
                </c:pt>
                <c:pt idx="205">
                  <c:v>12995800</c:v>
                </c:pt>
                <c:pt idx="206">
                  <c:v>15904846</c:v>
                </c:pt>
                <c:pt idx="207">
                  <c:v>13794647</c:v>
                </c:pt>
                <c:pt idx="208">
                  <c:v>13138355</c:v>
                </c:pt>
                <c:pt idx="209">
                  <c:v>8903842</c:v>
                </c:pt>
                <c:pt idx="210">
                  <c:v>9861847</c:v>
                </c:pt>
                <c:pt idx="211">
                  <c:v>38241864</c:v>
                </c:pt>
                <c:pt idx="212">
                  <c:v>35162889</c:v>
                </c:pt>
                <c:pt idx="213">
                  <c:v>22054342</c:v>
                </c:pt>
                <c:pt idx="214">
                  <c:v>37508445</c:v>
                </c:pt>
                <c:pt idx="215">
                  <c:v>34653042</c:v>
                </c:pt>
                <c:pt idx="216">
                  <c:v>24199205</c:v>
                </c:pt>
                <c:pt idx="217">
                  <c:v>29683982</c:v>
                </c:pt>
                <c:pt idx="218">
                  <c:v>37340790</c:v>
                </c:pt>
                <c:pt idx="219">
                  <c:v>19395604</c:v>
                </c:pt>
                <c:pt idx="220">
                  <c:v>17239484</c:v>
                </c:pt>
                <c:pt idx="221">
                  <c:v>22209720</c:v>
                </c:pt>
                <c:pt idx="222">
                  <c:v>16581585</c:v>
                </c:pt>
                <c:pt idx="223">
                  <c:v>8153106</c:v>
                </c:pt>
                <c:pt idx="224">
                  <c:v>11568803</c:v>
                </c:pt>
                <c:pt idx="225">
                  <c:v>11480954</c:v>
                </c:pt>
                <c:pt idx="226">
                  <c:v>9741198</c:v>
                </c:pt>
                <c:pt idx="227">
                  <c:v>7583815</c:v>
                </c:pt>
                <c:pt idx="228">
                  <c:v>7765495</c:v>
                </c:pt>
                <c:pt idx="229">
                  <c:v>9050253</c:v>
                </c:pt>
                <c:pt idx="230">
                  <c:v>11230588</c:v>
                </c:pt>
                <c:pt idx="231">
                  <c:v>8950589</c:v>
                </c:pt>
                <c:pt idx="232">
                  <c:v>8855041</c:v>
                </c:pt>
                <c:pt idx="233">
                  <c:v>15841299</c:v>
                </c:pt>
                <c:pt idx="234">
                  <c:v>8020695</c:v>
                </c:pt>
                <c:pt idx="235">
                  <c:v>13158894</c:v>
                </c:pt>
                <c:pt idx="236">
                  <c:v>11501088</c:v>
                </c:pt>
                <c:pt idx="237">
                  <c:v>10569725</c:v>
                </c:pt>
                <c:pt idx="238">
                  <c:v>12318313</c:v>
                </c:pt>
                <c:pt idx="239">
                  <c:v>14394097</c:v>
                </c:pt>
                <c:pt idx="240">
                  <c:v>11473796</c:v>
                </c:pt>
                <c:pt idx="241">
                  <c:v>17329896</c:v>
                </c:pt>
                <c:pt idx="242">
                  <c:v>16586264</c:v>
                </c:pt>
                <c:pt idx="243">
                  <c:v>17354942</c:v>
                </c:pt>
                <c:pt idx="244">
                  <c:v>18322935</c:v>
                </c:pt>
                <c:pt idx="245">
                  <c:v>23149684</c:v>
                </c:pt>
                <c:pt idx="246">
                  <c:v>15276991</c:v>
                </c:pt>
                <c:pt idx="247">
                  <c:v>15039006</c:v>
                </c:pt>
                <c:pt idx="248">
                  <c:v>43207074</c:v>
                </c:pt>
                <c:pt idx="249">
                  <c:v>41130638</c:v>
                </c:pt>
                <c:pt idx="250">
                  <c:v>27845963</c:v>
                </c:pt>
                <c:pt idx="251">
                  <c:v>56705951</c:v>
                </c:pt>
                <c:pt idx="252">
                  <c:v>24171083</c:v>
                </c:pt>
                <c:pt idx="253">
                  <c:v>16201280</c:v>
                </c:pt>
                <c:pt idx="254">
                  <c:v>11893807</c:v>
                </c:pt>
                <c:pt idx="255">
                  <c:v>19563580</c:v>
                </c:pt>
                <c:pt idx="256">
                  <c:v>18096561</c:v>
                </c:pt>
                <c:pt idx="257">
                  <c:v>22745228</c:v>
                </c:pt>
                <c:pt idx="258">
                  <c:v>12875311</c:v>
                </c:pt>
                <c:pt idx="259">
                  <c:v>11231596</c:v>
                </c:pt>
                <c:pt idx="260">
                  <c:v>14024149</c:v>
                </c:pt>
                <c:pt idx="261">
                  <c:v>8670947</c:v>
                </c:pt>
                <c:pt idx="262">
                  <c:v>16129017</c:v>
                </c:pt>
                <c:pt idx="263">
                  <c:v>25749340</c:v>
                </c:pt>
                <c:pt idx="264">
                  <c:v>11014283</c:v>
                </c:pt>
                <c:pt idx="265">
                  <c:v>41341523</c:v>
                </c:pt>
                <c:pt idx="266">
                  <c:v>23633656</c:v>
                </c:pt>
                <c:pt idx="267">
                  <c:v>20034633</c:v>
                </c:pt>
                <c:pt idx="268">
                  <c:v>19295994</c:v>
                </c:pt>
                <c:pt idx="269">
                  <c:v>28532668</c:v>
                </c:pt>
                <c:pt idx="270">
                  <c:v>66835736</c:v>
                </c:pt>
                <c:pt idx="271">
                  <c:v>45258669</c:v>
                </c:pt>
                <c:pt idx="272">
                  <c:v>36036336</c:v>
                </c:pt>
                <c:pt idx="273">
                  <c:v>42294906</c:v>
                </c:pt>
                <c:pt idx="274">
                  <c:v>36132245</c:v>
                </c:pt>
                <c:pt idx="275">
                  <c:v>41699184</c:v>
                </c:pt>
                <c:pt idx="276">
                  <c:v>35113638</c:v>
                </c:pt>
                <c:pt idx="277">
                  <c:v>32998305</c:v>
                </c:pt>
                <c:pt idx="278">
                  <c:v>21629521</c:v>
                </c:pt>
                <c:pt idx="279">
                  <c:v>34223740</c:v>
                </c:pt>
                <c:pt idx="280">
                  <c:v>27975134</c:v>
                </c:pt>
                <c:pt idx="281">
                  <c:v>36945426</c:v>
                </c:pt>
                <c:pt idx="282">
                  <c:v>40491633</c:v>
                </c:pt>
                <c:pt idx="283">
                  <c:v>38239419</c:v>
                </c:pt>
                <c:pt idx="284">
                  <c:v>29284643</c:v>
                </c:pt>
                <c:pt idx="285">
                  <c:v>24916402</c:v>
                </c:pt>
                <c:pt idx="286">
                  <c:v>18122714</c:v>
                </c:pt>
                <c:pt idx="287">
                  <c:v>17603827</c:v>
                </c:pt>
                <c:pt idx="288">
                  <c:v>25656796</c:v>
                </c:pt>
                <c:pt idx="289">
                  <c:v>14305709</c:v>
                </c:pt>
                <c:pt idx="290">
                  <c:v>15907398</c:v>
                </c:pt>
                <c:pt idx="291">
                  <c:v>27183142</c:v>
                </c:pt>
                <c:pt idx="292">
                  <c:v>19597941</c:v>
                </c:pt>
                <c:pt idx="293">
                  <c:v>16061089</c:v>
                </c:pt>
                <c:pt idx="294">
                  <c:v>37826800</c:v>
                </c:pt>
                <c:pt idx="295">
                  <c:v>46147653</c:v>
                </c:pt>
                <c:pt idx="296">
                  <c:v>23553762</c:v>
                </c:pt>
                <c:pt idx="297">
                  <c:v>21414383</c:v>
                </c:pt>
                <c:pt idx="298">
                  <c:v>24399444</c:v>
                </c:pt>
                <c:pt idx="299">
                  <c:v>23380138</c:v>
                </c:pt>
                <c:pt idx="300">
                  <c:v>24510612</c:v>
                </c:pt>
                <c:pt idx="301">
                  <c:v>23412279</c:v>
                </c:pt>
                <c:pt idx="302">
                  <c:v>15671273</c:v>
                </c:pt>
                <c:pt idx="303">
                  <c:v>24208645</c:v>
                </c:pt>
                <c:pt idx="304">
                  <c:v>20536714</c:v>
                </c:pt>
                <c:pt idx="305">
                  <c:v>16580824</c:v>
                </c:pt>
                <c:pt idx="306">
                  <c:v>27924384</c:v>
                </c:pt>
                <c:pt idx="307">
                  <c:v>20419904</c:v>
                </c:pt>
                <c:pt idx="308">
                  <c:v>18965820</c:v>
                </c:pt>
                <c:pt idx="309">
                  <c:v>25951999</c:v>
                </c:pt>
                <c:pt idx="310">
                  <c:v>17932895</c:v>
                </c:pt>
                <c:pt idx="311">
                  <c:v>34490123</c:v>
                </c:pt>
                <c:pt idx="312">
                  <c:v>21403710</c:v>
                </c:pt>
                <c:pt idx="313">
                  <c:v>18033260</c:v>
                </c:pt>
                <c:pt idx="314">
                  <c:v>17344099</c:v>
                </c:pt>
                <c:pt idx="315">
                  <c:v>20044726</c:v>
                </c:pt>
                <c:pt idx="316">
                  <c:v>11921627</c:v>
                </c:pt>
                <c:pt idx="317">
                  <c:v>8186859</c:v>
                </c:pt>
                <c:pt idx="318">
                  <c:v>17797974</c:v>
                </c:pt>
                <c:pt idx="319">
                  <c:v>20200332</c:v>
                </c:pt>
                <c:pt idx="320">
                  <c:v>78287713</c:v>
                </c:pt>
                <c:pt idx="321">
                  <c:v>32370771</c:v>
                </c:pt>
                <c:pt idx="322">
                  <c:v>21700165</c:v>
                </c:pt>
                <c:pt idx="323">
                  <c:v>15547968</c:v>
                </c:pt>
                <c:pt idx="324">
                  <c:v>15288648</c:v>
                </c:pt>
                <c:pt idx="325">
                  <c:v>18420159</c:v>
                </c:pt>
                <c:pt idx="326">
                  <c:v>13468067</c:v>
                </c:pt>
                <c:pt idx="327">
                  <c:v>11819102</c:v>
                </c:pt>
                <c:pt idx="328">
                  <c:v>23208345</c:v>
                </c:pt>
                <c:pt idx="329">
                  <c:v>14699792</c:v>
                </c:pt>
                <c:pt idx="330">
                  <c:v>14240994</c:v>
                </c:pt>
                <c:pt idx="331">
                  <c:v>12487862</c:v>
                </c:pt>
                <c:pt idx="332">
                  <c:v>10925182</c:v>
                </c:pt>
                <c:pt idx="333">
                  <c:v>10828539</c:v>
                </c:pt>
                <c:pt idx="334">
                  <c:v>14361969</c:v>
                </c:pt>
                <c:pt idx="335">
                  <c:v>9860194</c:v>
                </c:pt>
                <c:pt idx="336">
                  <c:v>8371061</c:v>
                </c:pt>
                <c:pt idx="337">
                  <c:v>11092690</c:v>
                </c:pt>
                <c:pt idx="338">
                  <c:v>7422193</c:v>
                </c:pt>
                <c:pt idx="339">
                  <c:v>5059474</c:v>
                </c:pt>
                <c:pt idx="340">
                  <c:v>14293357</c:v>
                </c:pt>
                <c:pt idx="341">
                  <c:v>16654660</c:v>
                </c:pt>
                <c:pt idx="342">
                  <c:v>17081136</c:v>
                </c:pt>
                <c:pt idx="343">
                  <c:v>13883034</c:v>
                </c:pt>
                <c:pt idx="344">
                  <c:v>11320918</c:v>
                </c:pt>
                <c:pt idx="345">
                  <c:v>9067252</c:v>
                </c:pt>
                <c:pt idx="346">
                  <c:v>7013132</c:v>
                </c:pt>
                <c:pt idx="347">
                  <c:v>8172964</c:v>
                </c:pt>
                <c:pt idx="348">
                  <c:v>11240154</c:v>
                </c:pt>
                <c:pt idx="349">
                  <c:v>16018449</c:v>
                </c:pt>
                <c:pt idx="350">
                  <c:v>19262054</c:v>
                </c:pt>
                <c:pt idx="351">
                  <c:v>35165665</c:v>
                </c:pt>
                <c:pt idx="352">
                  <c:v>39881736</c:v>
                </c:pt>
                <c:pt idx="353">
                  <c:v>18568655</c:v>
                </c:pt>
                <c:pt idx="354">
                  <c:v>18292925</c:v>
                </c:pt>
                <c:pt idx="355">
                  <c:v>13794991</c:v>
                </c:pt>
                <c:pt idx="356">
                  <c:v>11110418</c:v>
                </c:pt>
                <c:pt idx="357">
                  <c:v>12352667</c:v>
                </c:pt>
                <c:pt idx="358">
                  <c:v>14074628</c:v>
                </c:pt>
                <c:pt idx="359">
                  <c:v>9277570</c:v>
                </c:pt>
                <c:pt idx="360">
                  <c:v>13414357</c:v>
                </c:pt>
                <c:pt idx="361">
                  <c:v>11025420</c:v>
                </c:pt>
                <c:pt idx="362">
                  <c:v>11315876</c:v>
                </c:pt>
                <c:pt idx="363">
                  <c:v>9188419</c:v>
                </c:pt>
                <c:pt idx="364">
                  <c:v>15789281</c:v>
                </c:pt>
                <c:pt idx="365">
                  <c:v>16042840</c:v>
                </c:pt>
                <c:pt idx="366">
                  <c:v>9967545</c:v>
                </c:pt>
                <c:pt idx="367">
                  <c:v>10640727</c:v>
                </c:pt>
                <c:pt idx="368">
                  <c:v>9739177</c:v>
                </c:pt>
                <c:pt idx="369">
                  <c:v>9346146</c:v>
                </c:pt>
                <c:pt idx="370">
                  <c:v>10839070</c:v>
                </c:pt>
                <c:pt idx="371">
                  <c:v>16932743</c:v>
                </c:pt>
                <c:pt idx="372">
                  <c:v>15889556</c:v>
                </c:pt>
                <c:pt idx="373">
                  <c:v>38982557</c:v>
                </c:pt>
                <c:pt idx="374">
                  <c:v>17695228</c:v>
                </c:pt>
                <c:pt idx="375">
                  <c:v>15901918</c:v>
                </c:pt>
                <c:pt idx="376">
                  <c:v>10088723</c:v>
                </c:pt>
                <c:pt idx="377">
                  <c:v>8307140</c:v>
                </c:pt>
                <c:pt idx="378">
                  <c:v>8923568</c:v>
                </c:pt>
                <c:pt idx="379">
                  <c:v>10885990</c:v>
                </c:pt>
                <c:pt idx="380">
                  <c:v>6422504</c:v>
                </c:pt>
                <c:pt idx="381">
                  <c:v>8609864</c:v>
                </c:pt>
                <c:pt idx="382">
                  <c:v>7975854</c:v>
                </c:pt>
                <c:pt idx="383">
                  <c:v>9883851</c:v>
                </c:pt>
                <c:pt idx="384">
                  <c:v>10422413</c:v>
                </c:pt>
                <c:pt idx="385">
                  <c:v>11355837</c:v>
                </c:pt>
                <c:pt idx="386">
                  <c:v>9338887</c:v>
                </c:pt>
                <c:pt idx="387">
                  <c:v>11346892</c:v>
                </c:pt>
                <c:pt idx="388">
                  <c:v>7759104</c:v>
                </c:pt>
                <c:pt idx="389">
                  <c:v>6956588</c:v>
                </c:pt>
                <c:pt idx="390">
                  <c:v>11361400</c:v>
                </c:pt>
                <c:pt idx="391">
                  <c:v>17829428</c:v>
                </c:pt>
                <c:pt idx="392">
                  <c:v>13254985</c:v>
                </c:pt>
                <c:pt idx="393">
                  <c:v>25758860</c:v>
                </c:pt>
                <c:pt idx="394">
                  <c:v>17471906</c:v>
                </c:pt>
                <c:pt idx="395">
                  <c:v>11970750</c:v>
                </c:pt>
                <c:pt idx="396">
                  <c:v>8085824</c:v>
                </c:pt>
                <c:pt idx="397">
                  <c:v>10911130</c:v>
                </c:pt>
                <c:pt idx="398">
                  <c:v>9408098</c:v>
                </c:pt>
                <c:pt idx="399">
                  <c:v>8712689</c:v>
                </c:pt>
                <c:pt idx="400">
                  <c:v>10520207</c:v>
                </c:pt>
                <c:pt idx="401">
                  <c:v>12267025</c:v>
                </c:pt>
                <c:pt idx="402">
                  <c:v>8418672</c:v>
                </c:pt>
                <c:pt idx="403">
                  <c:v>12492851</c:v>
                </c:pt>
                <c:pt idx="404">
                  <c:v>14365461</c:v>
                </c:pt>
                <c:pt idx="405">
                  <c:v>9526068</c:v>
                </c:pt>
                <c:pt idx="406">
                  <c:v>20992080</c:v>
                </c:pt>
                <c:pt idx="407">
                  <c:v>24179987</c:v>
                </c:pt>
                <c:pt idx="408">
                  <c:v>22838807</c:v>
                </c:pt>
                <c:pt idx="409">
                  <c:v>16205789</c:v>
                </c:pt>
                <c:pt idx="410">
                  <c:v>9991052</c:v>
                </c:pt>
                <c:pt idx="411">
                  <c:v>15552911</c:v>
                </c:pt>
                <c:pt idx="412">
                  <c:v>18281337</c:v>
                </c:pt>
                <c:pt idx="413">
                  <c:v>12427919</c:v>
                </c:pt>
                <c:pt idx="414">
                  <c:v>9111289</c:v>
                </c:pt>
                <c:pt idx="415">
                  <c:v>8803255</c:v>
                </c:pt>
                <c:pt idx="416">
                  <c:v>22235092</c:v>
                </c:pt>
                <c:pt idx="417">
                  <c:v>10506078</c:v>
                </c:pt>
                <c:pt idx="418">
                  <c:v>9388996</c:v>
                </c:pt>
                <c:pt idx="419">
                  <c:v>10609956</c:v>
                </c:pt>
                <c:pt idx="420">
                  <c:v>10337544</c:v>
                </c:pt>
                <c:pt idx="421">
                  <c:v>7266724</c:v>
                </c:pt>
                <c:pt idx="422">
                  <c:v>6424915</c:v>
                </c:pt>
                <c:pt idx="423">
                  <c:v>6929063</c:v>
                </c:pt>
                <c:pt idx="424">
                  <c:v>20887417</c:v>
                </c:pt>
                <c:pt idx="425">
                  <c:v>16296080</c:v>
                </c:pt>
                <c:pt idx="426">
                  <c:v>18474706</c:v>
                </c:pt>
                <c:pt idx="427">
                  <c:v>27372160</c:v>
                </c:pt>
                <c:pt idx="428">
                  <c:v>17242211</c:v>
                </c:pt>
                <c:pt idx="429">
                  <c:v>18558597</c:v>
                </c:pt>
                <c:pt idx="430">
                  <c:v>13069167</c:v>
                </c:pt>
                <c:pt idx="431">
                  <c:v>13825970</c:v>
                </c:pt>
                <c:pt idx="432">
                  <c:v>19665200</c:v>
                </c:pt>
                <c:pt idx="433">
                  <c:v>16781507</c:v>
                </c:pt>
                <c:pt idx="434">
                  <c:v>10736155</c:v>
                </c:pt>
                <c:pt idx="435">
                  <c:v>8386849</c:v>
                </c:pt>
                <c:pt idx="436">
                  <c:v>10050303</c:v>
                </c:pt>
                <c:pt idx="437">
                  <c:v>20611075</c:v>
                </c:pt>
                <c:pt idx="438">
                  <c:v>19327625</c:v>
                </c:pt>
                <c:pt idx="439">
                  <c:v>10950902</c:v>
                </c:pt>
                <c:pt idx="440">
                  <c:v>17639889</c:v>
                </c:pt>
                <c:pt idx="441">
                  <c:v>15451411</c:v>
                </c:pt>
                <c:pt idx="442">
                  <c:v>7604924</c:v>
                </c:pt>
                <c:pt idx="443">
                  <c:v>9994270</c:v>
                </c:pt>
                <c:pt idx="444">
                  <c:v>7838297</c:v>
                </c:pt>
                <c:pt idx="445">
                  <c:v>9198816</c:v>
                </c:pt>
                <c:pt idx="446">
                  <c:v>6495845</c:v>
                </c:pt>
                <c:pt idx="447">
                  <c:v>7768291</c:v>
                </c:pt>
                <c:pt idx="448">
                  <c:v>8140857</c:v>
                </c:pt>
                <c:pt idx="449">
                  <c:v>6933254</c:v>
                </c:pt>
                <c:pt idx="450">
                  <c:v>9902739</c:v>
                </c:pt>
                <c:pt idx="451">
                  <c:v>10189855</c:v>
                </c:pt>
                <c:pt idx="452">
                  <c:v>22556502</c:v>
                </c:pt>
                <c:pt idx="453">
                  <c:v>16630417</c:v>
                </c:pt>
                <c:pt idx="454">
                  <c:v>8388835</c:v>
                </c:pt>
                <c:pt idx="455">
                  <c:v>9716390</c:v>
                </c:pt>
                <c:pt idx="456">
                  <c:v>6327430</c:v>
                </c:pt>
                <c:pt idx="457">
                  <c:v>9813208</c:v>
                </c:pt>
                <c:pt idx="458">
                  <c:v>6200447</c:v>
                </c:pt>
                <c:pt idx="459">
                  <c:v>8132228</c:v>
                </c:pt>
                <c:pt idx="460">
                  <c:v>11214662</c:v>
                </c:pt>
                <c:pt idx="461">
                  <c:v>10693426</c:v>
                </c:pt>
                <c:pt idx="462">
                  <c:v>7379878</c:v>
                </c:pt>
                <c:pt idx="463">
                  <c:v>8154931</c:v>
                </c:pt>
                <c:pt idx="464">
                  <c:v>12429280</c:v>
                </c:pt>
                <c:pt idx="465">
                  <c:v>7812801</c:v>
                </c:pt>
                <c:pt idx="466">
                  <c:v>5482218</c:v>
                </c:pt>
                <c:pt idx="467">
                  <c:v>7045201</c:v>
                </c:pt>
                <c:pt idx="468">
                  <c:v>6584445</c:v>
                </c:pt>
                <c:pt idx="469">
                  <c:v>10073884</c:v>
                </c:pt>
                <c:pt idx="470">
                  <c:v>9566210</c:v>
                </c:pt>
                <c:pt idx="471">
                  <c:v>6727343</c:v>
                </c:pt>
                <c:pt idx="472">
                  <c:v>7737562</c:v>
                </c:pt>
                <c:pt idx="473">
                  <c:v>8105359</c:v>
                </c:pt>
                <c:pt idx="474">
                  <c:v>6960264</c:v>
                </c:pt>
                <c:pt idx="475">
                  <c:v>5951893</c:v>
                </c:pt>
                <c:pt idx="476">
                  <c:v>5997051</c:v>
                </c:pt>
                <c:pt idx="477">
                  <c:v>6689769</c:v>
                </c:pt>
                <c:pt idx="478">
                  <c:v>8171437</c:v>
                </c:pt>
                <c:pt idx="479">
                  <c:v>8284135</c:v>
                </c:pt>
                <c:pt idx="480">
                  <c:v>10618786</c:v>
                </c:pt>
                <c:pt idx="481">
                  <c:v>6949605</c:v>
                </c:pt>
                <c:pt idx="482">
                  <c:v>4584293</c:v>
                </c:pt>
                <c:pt idx="483">
                  <c:v>6638422</c:v>
                </c:pt>
                <c:pt idx="484">
                  <c:v>14412671</c:v>
                </c:pt>
                <c:pt idx="485">
                  <c:v>8253942</c:v>
                </c:pt>
                <c:pt idx="486">
                  <c:v>13712537</c:v>
                </c:pt>
                <c:pt idx="487">
                  <c:v>12555527</c:v>
                </c:pt>
                <c:pt idx="488">
                  <c:v>8346130</c:v>
                </c:pt>
                <c:pt idx="489">
                  <c:v>13103664</c:v>
                </c:pt>
                <c:pt idx="490">
                  <c:v>7124807</c:v>
                </c:pt>
                <c:pt idx="491">
                  <c:v>12302874</c:v>
                </c:pt>
                <c:pt idx="492">
                  <c:v>12497542</c:v>
                </c:pt>
                <c:pt idx="493">
                  <c:v>21040139</c:v>
                </c:pt>
                <c:pt idx="494">
                  <c:v>14091519</c:v>
                </c:pt>
                <c:pt idx="495">
                  <c:v>17134291</c:v>
                </c:pt>
                <c:pt idx="496">
                  <c:v>64518967</c:v>
                </c:pt>
                <c:pt idx="497">
                  <c:v>55745171</c:v>
                </c:pt>
                <c:pt idx="498">
                  <c:v>22295321</c:v>
                </c:pt>
                <c:pt idx="499">
                  <c:v>25790153</c:v>
                </c:pt>
                <c:pt idx="500">
                  <c:v>20643707</c:v>
                </c:pt>
                <c:pt idx="501">
                  <c:v>10420462</c:v>
                </c:pt>
                <c:pt idx="502">
                  <c:v>11861196</c:v>
                </c:pt>
                <c:pt idx="503">
                  <c:v>10278597</c:v>
                </c:pt>
                <c:pt idx="504">
                  <c:v>9901148</c:v>
                </c:pt>
                <c:pt idx="505">
                  <c:v>29125052</c:v>
                </c:pt>
                <c:pt idx="506">
                  <c:v>12209350</c:v>
                </c:pt>
                <c:pt idx="507">
                  <c:v>9775280</c:v>
                </c:pt>
                <c:pt idx="508">
                  <c:v>7672135</c:v>
                </c:pt>
                <c:pt idx="509">
                  <c:v>7804976</c:v>
                </c:pt>
                <c:pt idx="510">
                  <c:v>8259574</c:v>
                </c:pt>
                <c:pt idx="511">
                  <c:v>8961077</c:v>
                </c:pt>
                <c:pt idx="512">
                  <c:v>18830592</c:v>
                </c:pt>
                <c:pt idx="513">
                  <c:v>12910220</c:v>
                </c:pt>
                <c:pt idx="514">
                  <c:v>8142319</c:v>
                </c:pt>
                <c:pt idx="515">
                  <c:v>16367477</c:v>
                </c:pt>
                <c:pt idx="516">
                  <c:v>7766667</c:v>
                </c:pt>
                <c:pt idx="517">
                  <c:v>5019603</c:v>
                </c:pt>
                <c:pt idx="518">
                  <c:v>8180709</c:v>
                </c:pt>
                <c:pt idx="519">
                  <c:v>10714339</c:v>
                </c:pt>
                <c:pt idx="520">
                  <c:v>8917699</c:v>
                </c:pt>
                <c:pt idx="521">
                  <c:v>9634283</c:v>
                </c:pt>
                <c:pt idx="522">
                  <c:v>8362265</c:v>
                </c:pt>
                <c:pt idx="523">
                  <c:v>8791872</c:v>
                </c:pt>
                <c:pt idx="524">
                  <c:v>10229766</c:v>
                </c:pt>
                <c:pt idx="525">
                  <c:v>8423692</c:v>
                </c:pt>
                <c:pt idx="526">
                  <c:v>15710094</c:v>
                </c:pt>
                <c:pt idx="527">
                  <c:v>48904254</c:v>
                </c:pt>
                <c:pt idx="528">
                  <c:v>10122167</c:v>
                </c:pt>
                <c:pt idx="529">
                  <c:v>11610832</c:v>
                </c:pt>
                <c:pt idx="530">
                  <c:v>4774867</c:v>
                </c:pt>
                <c:pt idx="531">
                  <c:v>9752326</c:v>
                </c:pt>
                <c:pt idx="532">
                  <c:v>9934501</c:v>
                </c:pt>
                <c:pt idx="533">
                  <c:v>10816352</c:v>
                </c:pt>
                <c:pt idx="534">
                  <c:v>9170535</c:v>
                </c:pt>
                <c:pt idx="535">
                  <c:v>10160322</c:v>
                </c:pt>
                <c:pt idx="536">
                  <c:v>9511189</c:v>
                </c:pt>
                <c:pt idx="537">
                  <c:v>7059200</c:v>
                </c:pt>
                <c:pt idx="538">
                  <c:v>11608424</c:v>
                </c:pt>
                <c:pt idx="539">
                  <c:v>12897667</c:v>
                </c:pt>
                <c:pt idx="540">
                  <c:v>6783022</c:v>
                </c:pt>
                <c:pt idx="541">
                  <c:v>18237451</c:v>
                </c:pt>
                <c:pt idx="542">
                  <c:v>9747526</c:v>
                </c:pt>
                <c:pt idx="543">
                  <c:v>6059044</c:v>
                </c:pt>
                <c:pt idx="544">
                  <c:v>11041243</c:v>
                </c:pt>
                <c:pt idx="545">
                  <c:v>9494641</c:v>
                </c:pt>
                <c:pt idx="546">
                  <c:v>9744202</c:v>
                </c:pt>
                <c:pt idx="547">
                  <c:v>6667781</c:v>
                </c:pt>
                <c:pt idx="548">
                  <c:v>14252204</c:v>
                </c:pt>
                <c:pt idx="549">
                  <c:v>5981760</c:v>
                </c:pt>
                <c:pt idx="550">
                  <c:v>8840188</c:v>
                </c:pt>
                <c:pt idx="551">
                  <c:v>7620723</c:v>
                </c:pt>
                <c:pt idx="552">
                  <c:v>12614263</c:v>
                </c:pt>
                <c:pt idx="553">
                  <c:v>12718721</c:v>
                </c:pt>
                <c:pt idx="554">
                  <c:v>10253527</c:v>
                </c:pt>
                <c:pt idx="555">
                  <c:v>7325483</c:v>
                </c:pt>
                <c:pt idx="556">
                  <c:v>7984933</c:v>
                </c:pt>
                <c:pt idx="557">
                  <c:v>12412416</c:v>
                </c:pt>
                <c:pt idx="558">
                  <c:v>7243636</c:v>
                </c:pt>
                <c:pt idx="559">
                  <c:v>9992962</c:v>
                </c:pt>
                <c:pt idx="560">
                  <c:v>9754485</c:v>
                </c:pt>
                <c:pt idx="561">
                  <c:v>15982423</c:v>
                </c:pt>
                <c:pt idx="562">
                  <c:v>11135894</c:v>
                </c:pt>
                <c:pt idx="563">
                  <c:v>9151102</c:v>
                </c:pt>
                <c:pt idx="564">
                  <c:v>7994197</c:v>
                </c:pt>
                <c:pt idx="565">
                  <c:v>9479691</c:v>
                </c:pt>
                <c:pt idx="566">
                  <c:v>23995166</c:v>
                </c:pt>
                <c:pt idx="567">
                  <c:v>25767521</c:v>
                </c:pt>
                <c:pt idx="568">
                  <c:v>15421680</c:v>
                </c:pt>
                <c:pt idx="569">
                  <c:v>8732608</c:v>
                </c:pt>
                <c:pt idx="570">
                  <c:v>11479706</c:v>
                </c:pt>
                <c:pt idx="571">
                  <c:v>18204464</c:v>
                </c:pt>
                <c:pt idx="572">
                  <c:v>12995706</c:v>
                </c:pt>
                <c:pt idx="573">
                  <c:v>19826254</c:v>
                </c:pt>
                <c:pt idx="574">
                  <c:v>18900002</c:v>
                </c:pt>
                <c:pt idx="575">
                  <c:v>14272292</c:v>
                </c:pt>
                <c:pt idx="576">
                  <c:v>8803137</c:v>
                </c:pt>
                <c:pt idx="577">
                  <c:v>9203842</c:v>
                </c:pt>
                <c:pt idx="578">
                  <c:v>7152179</c:v>
                </c:pt>
                <c:pt idx="579">
                  <c:v>6454486</c:v>
                </c:pt>
                <c:pt idx="580">
                  <c:v>7543432</c:v>
                </c:pt>
                <c:pt idx="581">
                  <c:v>7024424</c:v>
                </c:pt>
                <c:pt idx="582">
                  <c:v>7057843</c:v>
                </c:pt>
                <c:pt idx="583">
                  <c:v>8719176</c:v>
                </c:pt>
                <c:pt idx="584">
                  <c:v>16111860</c:v>
                </c:pt>
                <c:pt idx="585">
                  <c:v>8704178</c:v>
                </c:pt>
                <c:pt idx="586">
                  <c:v>7498727</c:v>
                </c:pt>
                <c:pt idx="587">
                  <c:v>11729681</c:v>
                </c:pt>
                <c:pt idx="588">
                  <c:v>4189180</c:v>
                </c:pt>
                <c:pt idx="589">
                  <c:v>4472119</c:v>
                </c:pt>
                <c:pt idx="590">
                  <c:v>6059504</c:v>
                </c:pt>
                <c:pt idx="591">
                  <c:v>6637099</c:v>
                </c:pt>
                <c:pt idx="592">
                  <c:v>6090901</c:v>
                </c:pt>
                <c:pt idx="593">
                  <c:v>5477339</c:v>
                </c:pt>
                <c:pt idx="594">
                  <c:v>4865596</c:v>
                </c:pt>
                <c:pt idx="595">
                  <c:v>12082753</c:v>
                </c:pt>
                <c:pt idx="596">
                  <c:v>9106074</c:v>
                </c:pt>
                <c:pt idx="597">
                  <c:v>10699143</c:v>
                </c:pt>
                <c:pt idx="598">
                  <c:v>7725081</c:v>
                </c:pt>
                <c:pt idx="599">
                  <c:v>16252992</c:v>
                </c:pt>
                <c:pt idx="600">
                  <c:v>9471054</c:v>
                </c:pt>
                <c:pt idx="601">
                  <c:v>7323451</c:v>
                </c:pt>
                <c:pt idx="602">
                  <c:v>6521300</c:v>
                </c:pt>
                <c:pt idx="603">
                  <c:v>8457557</c:v>
                </c:pt>
                <c:pt idx="604">
                  <c:v>12340934</c:v>
                </c:pt>
                <c:pt idx="605">
                  <c:v>7909757</c:v>
                </c:pt>
                <c:pt idx="606">
                  <c:v>5081391</c:v>
                </c:pt>
                <c:pt idx="607">
                  <c:v>6090738</c:v>
                </c:pt>
                <c:pt idx="608">
                  <c:v>5352283</c:v>
                </c:pt>
                <c:pt idx="609">
                  <c:v>13867323</c:v>
                </c:pt>
                <c:pt idx="610">
                  <c:v>20250206</c:v>
                </c:pt>
                <c:pt idx="611">
                  <c:v>13971982</c:v>
                </c:pt>
                <c:pt idx="612">
                  <c:v>38976815</c:v>
                </c:pt>
                <c:pt idx="613">
                  <c:v>43534718</c:v>
                </c:pt>
                <c:pt idx="614">
                  <c:v>18143422</c:v>
                </c:pt>
                <c:pt idx="615">
                  <c:v>13989457</c:v>
                </c:pt>
                <c:pt idx="616">
                  <c:v>9978231</c:v>
                </c:pt>
                <c:pt idx="617">
                  <c:v>8194797</c:v>
                </c:pt>
                <c:pt idx="618">
                  <c:v>6438221</c:v>
                </c:pt>
                <c:pt idx="619">
                  <c:v>10318220</c:v>
                </c:pt>
                <c:pt idx="620">
                  <c:v>10617897</c:v>
                </c:pt>
                <c:pt idx="621">
                  <c:v>6834401</c:v>
                </c:pt>
                <c:pt idx="622">
                  <c:v>9161131</c:v>
                </c:pt>
                <c:pt idx="623">
                  <c:v>6392488</c:v>
                </c:pt>
                <c:pt idx="624">
                  <c:v>9758343</c:v>
                </c:pt>
                <c:pt idx="625">
                  <c:v>13194170</c:v>
                </c:pt>
                <c:pt idx="626">
                  <c:v>11582326</c:v>
                </c:pt>
                <c:pt idx="627">
                  <c:v>7562808</c:v>
                </c:pt>
                <c:pt idx="628">
                  <c:v>14920272</c:v>
                </c:pt>
                <c:pt idx="629">
                  <c:v>16269569</c:v>
                </c:pt>
                <c:pt idx="630">
                  <c:v>19324262</c:v>
                </c:pt>
                <c:pt idx="631">
                  <c:v>9572041</c:v>
                </c:pt>
                <c:pt idx="632">
                  <c:v>9854945</c:v>
                </c:pt>
                <c:pt idx="633">
                  <c:v>8445029</c:v>
                </c:pt>
                <c:pt idx="634">
                  <c:v>6088274</c:v>
                </c:pt>
                <c:pt idx="635">
                  <c:v>9270988</c:v>
                </c:pt>
                <c:pt idx="636">
                  <c:v>6910750</c:v>
                </c:pt>
                <c:pt idx="637">
                  <c:v>9480003</c:v>
                </c:pt>
                <c:pt idx="638">
                  <c:v>7364924</c:v>
                </c:pt>
                <c:pt idx="639">
                  <c:v>19900312</c:v>
                </c:pt>
                <c:pt idx="640">
                  <c:v>11438624</c:v>
                </c:pt>
                <c:pt idx="641">
                  <c:v>13604608</c:v>
                </c:pt>
                <c:pt idx="642">
                  <c:v>8378915</c:v>
                </c:pt>
                <c:pt idx="643">
                  <c:v>12863039</c:v>
                </c:pt>
                <c:pt idx="644">
                  <c:v>8090369</c:v>
                </c:pt>
                <c:pt idx="645">
                  <c:v>9939517</c:v>
                </c:pt>
                <c:pt idx="646">
                  <c:v>9320577</c:v>
                </c:pt>
                <c:pt idx="647">
                  <c:v>14406441</c:v>
                </c:pt>
                <c:pt idx="648">
                  <c:v>11813170</c:v>
                </c:pt>
                <c:pt idx="649">
                  <c:v>14430930</c:v>
                </c:pt>
                <c:pt idx="650">
                  <c:v>15077136</c:v>
                </c:pt>
                <c:pt idx="651">
                  <c:v>8197425</c:v>
                </c:pt>
                <c:pt idx="652">
                  <c:v>9959649</c:v>
                </c:pt>
                <c:pt idx="653">
                  <c:v>10719470</c:v>
                </c:pt>
                <c:pt idx="654">
                  <c:v>7506309</c:v>
                </c:pt>
                <c:pt idx="655">
                  <c:v>5782955</c:v>
                </c:pt>
                <c:pt idx="656">
                  <c:v>5327833</c:v>
                </c:pt>
                <c:pt idx="657">
                  <c:v>10490786</c:v>
                </c:pt>
                <c:pt idx="658">
                  <c:v>10216736</c:v>
                </c:pt>
                <c:pt idx="659">
                  <c:v>8160058</c:v>
                </c:pt>
                <c:pt idx="660">
                  <c:v>7481883</c:v>
                </c:pt>
                <c:pt idx="661">
                  <c:v>13396709</c:v>
                </c:pt>
                <c:pt idx="662">
                  <c:v>10030257</c:v>
                </c:pt>
                <c:pt idx="663">
                  <c:v>8418580</c:v>
                </c:pt>
                <c:pt idx="664">
                  <c:v>5611154</c:v>
                </c:pt>
                <c:pt idx="665">
                  <c:v>5014758</c:v>
                </c:pt>
                <c:pt idx="666">
                  <c:v>7651513</c:v>
                </c:pt>
                <c:pt idx="667">
                  <c:v>11774487</c:v>
                </c:pt>
                <c:pt idx="668">
                  <c:v>7632483</c:v>
                </c:pt>
                <c:pt idx="669">
                  <c:v>4214958</c:v>
                </c:pt>
                <c:pt idx="670">
                  <c:v>6936218</c:v>
                </c:pt>
                <c:pt idx="671">
                  <c:v>6894947</c:v>
                </c:pt>
                <c:pt idx="672">
                  <c:v>9465463</c:v>
                </c:pt>
                <c:pt idx="673">
                  <c:v>13020371</c:v>
                </c:pt>
                <c:pt idx="674">
                  <c:v>7275471</c:v>
                </c:pt>
                <c:pt idx="675">
                  <c:v>10889221</c:v>
                </c:pt>
                <c:pt idx="676">
                  <c:v>18801214</c:v>
                </c:pt>
                <c:pt idx="677">
                  <c:v>13132487</c:v>
                </c:pt>
                <c:pt idx="678">
                  <c:v>7618033</c:v>
                </c:pt>
                <c:pt idx="679">
                  <c:v>8620154</c:v>
                </c:pt>
                <c:pt idx="680">
                  <c:v>7990245</c:v>
                </c:pt>
                <c:pt idx="681">
                  <c:v>8152031</c:v>
                </c:pt>
                <c:pt idx="682">
                  <c:v>13802600</c:v>
                </c:pt>
                <c:pt idx="683">
                  <c:v>7308229</c:v>
                </c:pt>
                <c:pt idx="684">
                  <c:v>5124012</c:v>
                </c:pt>
                <c:pt idx="685">
                  <c:v>6979849</c:v>
                </c:pt>
                <c:pt idx="686">
                  <c:v>7785767</c:v>
                </c:pt>
                <c:pt idx="687">
                  <c:v>4079205</c:v>
                </c:pt>
                <c:pt idx="688">
                  <c:v>3744754</c:v>
                </c:pt>
                <c:pt idx="689">
                  <c:v>7436428</c:v>
                </c:pt>
                <c:pt idx="690">
                  <c:v>10857863</c:v>
                </c:pt>
                <c:pt idx="691">
                  <c:v>6655278</c:v>
                </c:pt>
                <c:pt idx="692">
                  <c:v>4335388</c:v>
                </c:pt>
                <c:pt idx="693">
                  <c:v>5997810</c:v>
                </c:pt>
                <c:pt idx="694">
                  <c:v>4886687</c:v>
                </c:pt>
                <c:pt idx="695">
                  <c:v>6366606</c:v>
                </c:pt>
                <c:pt idx="696">
                  <c:v>6821878</c:v>
                </c:pt>
                <c:pt idx="697">
                  <c:v>8745691</c:v>
                </c:pt>
                <c:pt idx="698">
                  <c:v>13785216</c:v>
                </c:pt>
                <c:pt idx="699">
                  <c:v>15127505</c:v>
                </c:pt>
                <c:pt idx="700">
                  <c:v>19336856</c:v>
                </c:pt>
                <c:pt idx="701">
                  <c:v>12800220</c:v>
                </c:pt>
                <c:pt idx="702">
                  <c:v>12136292</c:v>
                </c:pt>
                <c:pt idx="703">
                  <c:v>20417559</c:v>
                </c:pt>
                <c:pt idx="704">
                  <c:v>11310918</c:v>
                </c:pt>
                <c:pt idx="705">
                  <c:v>18667895</c:v>
                </c:pt>
                <c:pt idx="706">
                  <c:v>6599973</c:v>
                </c:pt>
                <c:pt idx="707">
                  <c:v>10158101</c:v>
                </c:pt>
                <c:pt idx="708">
                  <c:v>11283868</c:v>
                </c:pt>
                <c:pt idx="709">
                  <c:v>14370803</c:v>
                </c:pt>
                <c:pt idx="710">
                  <c:v>15789845</c:v>
                </c:pt>
                <c:pt idx="711">
                  <c:v>12027620</c:v>
                </c:pt>
                <c:pt idx="712">
                  <c:v>10268755</c:v>
                </c:pt>
                <c:pt idx="713">
                  <c:v>10367665</c:v>
                </c:pt>
                <c:pt idx="714">
                  <c:v>11154625</c:v>
                </c:pt>
                <c:pt idx="715">
                  <c:v>11026317</c:v>
                </c:pt>
                <c:pt idx="716">
                  <c:v>5871301</c:v>
                </c:pt>
                <c:pt idx="717">
                  <c:v>7543383</c:v>
                </c:pt>
                <c:pt idx="718">
                  <c:v>20696101</c:v>
                </c:pt>
                <c:pt idx="719">
                  <c:v>12888266</c:v>
                </c:pt>
                <c:pt idx="720">
                  <c:v>9346277</c:v>
                </c:pt>
                <c:pt idx="721">
                  <c:v>10519771</c:v>
                </c:pt>
                <c:pt idx="722">
                  <c:v>24036012</c:v>
                </c:pt>
                <c:pt idx="723">
                  <c:v>11786959</c:v>
                </c:pt>
                <c:pt idx="724">
                  <c:v>9209405</c:v>
                </c:pt>
                <c:pt idx="725">
                  <c:v>8003177</c:v>
                </c:pt>
                <c:pt idx="726">
                  <c:v>5696780</c:v>
                </c:pt>
                <c:pt idx="727">
                  <c:v>5896123</c:v>
                </c:pt>
                <c:pt idx="728">
                  <c:v>6534775</c:v>
                </c:pt>
                <c:pt idx="729">
                  <c:v>9354326</c:v>
                </c:pt>
                <c:pt idx="730">
                  <c:v>6902156</c:v>
                </c:pt>
                <c:pt idx="731">
                  <c:v>12066347</c:v>
                </c:pt>
                <c:pt idx="732">
                  <c:v>11108698</c:v>
                </c:pt>
                <c:pt idx="733">
                  <c:v>9143784</c:v>
                </c:pt>
                <c:pt idx="734">
                  <c:v>12203322</c:v>
                </c:pt>
                <c:pt idx="735">
                  <c:v>8404513</c:v>
                </c:pt>
                <c:pt idx="736">
                  <c:v>21626183</c:v>
                </c:pt>
                <c:pt idx="737">
                  <c:v>19677700</c:v>
                </c:pt>
                <c:pt idx="738">
                  <c:v>17869152</c:v>
                </c:pt>
                <c:pt idx="739">
                  <c:v>43514448</c:v>
                </c:pt>
                <c:pt idx="740">
                  <c:v>19882944</c:v>
                </c:pt>
                <c:pt idx="741">
                  <c:v>19165409</c:v>
                </c:pt>
                <c:pt idx="742">
                  <c:v>17156021</c:v>
                </c:pt>
                <c:pt idx="743">
                  <c:v>12041897</c:v>
                </c:pt>
                <c:pt idx="744">
                  <c:v>18764371</c:v>
                </c:pt>
                <c:pt idx="745">
                  <c:v>12880824</c:v>
                </c:pt>
                <c:pt idx="746">
                  <c:v>48183882</c:v>
                </c:pt>
                <c:pt idx="747">
                  <c:v>32283965</c:v>
                </c:pt>
                <c:pt idx="748">
                  <c:v>10906914</c:v>
                </c:pt>
                <c:pt idx="749">
                  <c:v>15606705</c:v>
                </c:pt>
                <c:pt idx="750">
                  <c:v>12150077</c:v>
                </c:pt>
                <c:pt idx="751">
                  <c:v>20383983</c:v>
                </c:pt>
                <c:pt idx="752">
                  <c:v>37518847</c:v>
                </c:pt>
                <c:pt idx="753">
                  <c:v>16949793</c:v>
                </c:pt>
                <c:pt idx="754">
                  <c:v>14084218</c:v>
                </c:pt>
                <c:pt idx="755">
                  <c:v>19414653</c:v>
                </c:pt>
                <c:pt idx="756">
                  <c:v>18604659</c:v>
                </c:pt>
                <c:pt idx="757">
                  <c:v>11147636</c:v>
                </c:pt>
                <c:pt idx="758">
                  <c:v>7982145</c:v>
                </c:pt>
                <c:pt idx="759">
                  <c:v>7783743</c:v>
                </c:pt>
                <c:pt idx="760">
                  <c:v>8617768</c:v>
                </c:pt>
                <c:pt idx="761">
                  <c:v>14895144</c:v>
                </c:pt>
                <c:pt idx="762">
                  <c:v>12395632</c:v>
                </c:pt>
                <c:pt idx="763">
                  <c:v>6840352</c:v>
                </c:pt>
                <c:pt idx="764">
                  <c:v>9733507</c:v>
                </c:pt>
                <c:pt idx="765">
                  <c:v>11106855</c:v>
                </c:pt>
                <c:pt idx="766">
                  <c:v>23020545</c:v>
                </c:pt>
                <c:pt idx="767">
                  <c:v>17620081</c:v>
                </c:pt>
                <c:pt idx="768">
                  <c:v>34882639</c:v>
                </c:pt>
                <c:pt idx="769">
                  <c:v>101612428</c:v>
                </c:pt>
                <c:pt idx="770">
                  <c:v>30764728</c:v>
                </c:pt>
                <c:pt idx="771">
                  <c:v>73253754</c:v>
                </c:pt>
                <c:pt idx="772">
                  <c:v>15933704</c:v>
                </c:pt>
                <c:pt idx="773">
                  <c:v>20994563</c:v>
                </c:pt>
                <c:pt idx="774">
                  <c:v>19609321</c:v>
                </c:pt>
                <c:pt idx="775">
                  <c:v>19227982</c:v>
                </c:pt>
                <c:pt idx="776">
                  <c:v>38861818</c:v>
                </c:pt>
                <c:pt idx="777">
                  <c:v>10274145</c:v>
                </c:pt>
                <c:pt idx="778">
                  <c:v>12227545</c:v>
                </c:pt>
                <c:pt idx="779">
                  <c:v>27933211</c:v>
                </c:pt>
                <c:pt idx="780">
                  <c:v>9382308</c:v>
                </c:pt>
                <c:pt idx="781">
                  <c:v>8853678</c:v>
                </c:pt>
                <c:pt idx="782">
                  <c:v>12664520</c:v>
                </c:pt>
                <c:pt idx="783">
                  <c:v>18358410</c:v>
                </c:pt>
                <c:pt idx="784">
                  <c:v>16147032</c:v>
                </c:pt>
                <c:pt idx="785">
                  <c:v>8516632</c:v>
                </c:pt>
                <c:pt idx="786">
                  <c:v>6708894</c:v>
                </c:pt>
                <c:pt idx="787">
                  <c:v>14008124</c:v>
                </c:pt>
                <c:pt idx="788">
                  <c:v>18088372</c:v>
                </c:pt>
                <c:pt idx="789">
                  <c:v>8746243</c:v>
                </c:pt>
                <c:pt idx="790">
                  <c:v>9973638</c:v>
                </c:pt>
                <c:pt idx="791">
                  <c:v>21312388</c:v>
                </c:pt>
                <c:pt idx="792">
                  <c:v>16582634</c:v>
                </c:pt>
                <c:pt idx="793">
                  <c:v>7112139</c:v>
                </c:pt>
                <c:pt idx="794">
                  <c:v>12021404</c:v>
                </c:pt>
                <c:pt idx="795">
                  <c:v>5845170</c:v>
                </c:pt>
                <c:pt idx="796">
                  <c:v>29211997</c:v>
                </c:pt>
                <c:pt idx="797">
                  <c:v>14773975</c:v>
                </c:pt>
                <c:pt idx="798">
                  <c:v>11627882</c:v>
                </c:pt>
                <c:pt idx="799">
                  <c:v>12064043</c:v>
                </c:pt>
                <c:pt idx="800">
                  <c:v>23228909</c:v>
                </c:pt>
                <c:pt idx="801">
                  <c:v>22904276</c:v>
                </c:pt>
                <c:pt idx="802">
                  <c:v>10355056</c:v>
                </c:pt>
                <c:pt idx="803">
                  <c:v>25968921</c:v>
                </c:pt>
                <c:pt idx="804">
                  <c:v>10511646</c:v>
                </c:pt>
                <c:pt idx="805">
                  <c:v>23412609</c:v>
                </c:pt>
                <c:pt idx="806">
                  <c:v>13985963</c:v>
                </c:pt>
                <c:pt idx="807">
                  <c:v>7302959</c:v>
                </c:pt>
                <c:pt idx="808">
                  <c:v>11000103</c:v>
                </c:pt>
                <c:pt idx="809">
                  <c:v>7565080</c:v>
                </c:pt>
                <c:pt idx="810">
                  <c:v>23025186</c:v>
                </c:pt>
                <c:pt idx="811">
                  <c:v>11453714</c:v>
                </c:pt>
                <c:pt idx="812">
                  <c:v>10760726</c:v>
                </c:pt>
                <c:pt idx="813">
                  <c:v>10627595</c:v>
                </c:pt>
                <c:pt idx="814">
                  <c:v>26234369</c:v>
                </c:pt>
                <c:pt idx="815">
                  <c:v>12761457</c:v>
                </c:pt>
                <c:pt idx="816">
                  <c:v>11827050</c:v>
                </c:pt>
                <c:pt idx="817">
                  <c:v>9310198</c:v>
                </c:pt>
                <c:pt idx="818">
                  <c:v>10430363</c:v>
                </c:pt>
                <c:pt idx="819">
                  <c:v>20524428</c:v>
                </c:pt>
                <c:pt idx="820">
                  <c:v>28214102</c:v>
                </c:pt>
                <c:pt idx="821">
                  <c:v>15519148</c:v>
                </c:pt>
                <c:pt idx="822">
                  <c:v>46019632</c:v>
                </c:pt>
                <c:pt idx="823">
                  <c:v>27151351</c:v>
                </c:pt>
                <c:pt idx="824">
                  <c:v>31119999</c:v>
                </c:pt>
                <c:pt idx="825">
                  <c:v>28448041</c:v>
                </c:pt>
                <c:pt idx="826">
                  <c:v>11432393</c:v>
                </c:pt>
                <c:pt idx="827">
                  <c:v>12670589</c:v>
                </c:pt>
                <c:pt idx="828">
                  <c:v>10352936</c:v>
                </c:pt>
                <c:pt idx="829">
                  <c:v>9283802</c:v>
                </c:pt>
                <c:pt idx="830">
                  <c:v>9217804</c:v>
                </c:pt>
                <c:pt idx="831">
                  <c:v>14098178</c:v>
                </c:pt>
                <c:pt idx="832">
                  <c:v>10909803</c:v>
                </c:pt>
                <c:pt idx="833">
                  <c:v>14585806</c:v>
                </c:pt>
                <c:pt idx="834">
                  <c:v>25205627</c:v>
                </c:pt>
                <c:pt idx="835">
                  <c:v>9362433</c:v>
                </c:pt>
                <c:pt idx="836">
                  <c:v>10260449</c:v>
                </c:pt>
                <c:pt idx="837">
                  <c:v>11084805</c:v>
                </c:pt>
                <c:pt idx="838">
                  <c:v>37012589</c:v>
                </c:pt>
                <c:pt idx="839">
                  <c:v>17866326</c:v>
                </c:pt>
                <c:pt idx="840">
                  <c:v>12894747</c:v>
                </c:pt>
                <c:pt idx="841">
                  <c:v>10763335</c:v>
                </c:pt>
                <c:pt idx="842">
                  <c:v>7159756</c:v>
                </c:pt>
                <c:pt idx="843">
                  <c:v>9127340</c:v>
                </c:pt>
                <c:pt idx="844">
                  <c:v>12929586</c:v>
                </c:pt>
                <c:pt idx="845">
                  <c:v>20521107</c:v>
                </c:pt>
                <c:pt idx="846">
                  <c:v>26470260</c:v>
                </c:pt>
                <c:pt idx="847">
                  <c:v>11618210</c:v>
                </c:pt>
                <c:pt idx="848">
                  <c:v>18831345</c:v>
                </c:pt>
                <c:pt idx="849">
                  <c:v>18962800</c:v>
                </c:pt>
                <c:pt idx="850">
                  <c:v>16251032</c:v>
                </c:pt>
                <c:pt idx="851">
                  <c:v>12996711</c:v>
                </c:pt>
                <c:pt idx="852">
                  <c:v>21094737</c:v>
                </c:pt>
                <c:pt idx="853">
                  <c:v>24977373</c:v>
                </c:pt>
                <c:pt idx="854">
                  <c:v>18066586</c:v>
                </c:pt>
                <c:pt idx="855">
                  <c:v>54044423</c:v>
                </c:pt>
                <c:pt idx="856">
                  <c:v>42073323</c:v>
                </c:pt>
                <c:pt idx="857">
                  <c:v>17878994</c:v>
                </c:pt>
                <c:pt idx="858">
                  <c:v>20736094</c:v>
                </c:pt>
                <c:pt idx="859">
                  <c:v>12496895</c:v>
                </c:pt>
                <c:pt idx="860">
                  <c:v>13375906</c:v>
                </c:pt>
                <c:pt idx="861">
                  <c:v>11538215</c:v>
                </c:pt>
                <c:pt idx="862">
                  <c:v>11665529</c:v>
                </c:pt>
                <c:pt idx="863">
                  <c:v>21320064</c:v>
                </c:pt>
                <c:pt idx="864">
                  <c:v>24094139</c:v>
                </c:pt>
                <c:pt idx="865">
                  <c:v>13722855</c:v>
                </c:pt>
                <c:pt idx="866">
                  <c:v>10900585</c:v>
                </c:pt>
                <c:pt idx="867">
                  <c:v>20558134</c:v>
                </c:pt>
                <c:pt idx="868">
                  <c:v>9201793</c:v>
                </c:pt>
                <c:pt idx="869">
                  <c:v>9076097</c:v>
                </c:pt>
                <c:pt idx="870">
                  <c:v>7757706</c:v>
                </c:pt>
                <c:pt idx="871">
                  <c:v>9253598</c:v>
                </c:pt>
                <c:pt idx="872">
                  <c:v>13137392</c:v>
                </c:pt>
                <c:pt idx="873">
                  <c:v>10198725</c:v>
                </c:pt>
                <c:pt idx="874">
                  <c:v>6633171</c:v>
                </c:pt>
                <c:pt idx="875">
                  <c:v>8474830</c:v>
                </c:pt>
                <c:pt idx="876">
                  <c:v>8364290</c:v>
                </c:pt>
                <c:pt idx="877">
                  <c:v>7891446</c:v>
                </c:pt>
                <c:pt idx="878">
                  <c:v>7825037</c:v>
                </c:pt>
                <c:pt idx="879">
                  <c:v>7954114</c:v>
                </c:pt>
                <c:pt idx="880">
                  <c:v>7782216</c:v>
                </c:pt>
                <c:pt idx="881">
                  <c:v>18670632</c:v>
                </c:pt>
                <c:pt idx="882">
                  <c:v>14947670</c:v>
                </c:pt>
                <c:pt idx="883">
                  <c:v>15885469</c:v>
                </c:pt>
                <c:pt idx="884">
                  <c:v>12018677</c:v>
                </c:pt>
                <c:pt idx="885">
                  <c:v>8414967</c:v>
                </c:pt>
                <c:pt idx="886">
                  <c:v>10898888</c:v>
                </c:pt>
                <c:pt idx="887">
                  <c:v>13716752</c:v>
                </c:pt>
                <c:pt idx="888">
                  <c:v>13736044</c:v>
                </c:pt>
                <c:pt idx="889">
                  <c:v>10911995</c:v>
                </c:pt>
                <c:pt idx="890">
                  <c:v>14922832</c:v>
                </c:pt>
                <c:pt idx="891">
                  <c:v>18377550</c:v>
                </c:pt>
                <c:pt idx="892">
                  <c:v>8825193</c:v>
                </c:pt>
                <c:pt idx="893">
                  <c:v>7531604</c:v>
                </c:pt>
                <c:pt idx="894">
                  <c:v>10486015</c:v>
                </c:pt>
                <c:pt idx="895">
                  <c:v>5429619</c:v>
                </c:pt>
                <c:pt idx="896">
                  <c:v>13925311</c:v>
                </c:pt>
                <c:pt idx="897">
                  <c:v>23808194</c:v>
                </c:pt>
                <c:pt idx="898">
                  <c:v>7804918</c:v>
                </c:pt>
                <c:pt idx="899">
                  <c:v>6755320</c:v>
                </c:pt>
                <c:pt idx="900">
                  <c:v>8476223</c:v>
                </c:pt>
                <c:pt idx="901">
                  <c:v>15489991</c:v>
                </c:pt>
                <c:pt idx="902">
                  <c:v>17251962</c:v>
                </c:pt>
                <c:pt idx="903">
                  <c:v>10531347</c:v>
                </c:pt>
                <c:pt idx="904">
                  <c:v>5089315</c:v>
                </c:pt>
                <c:pt idx="905">
                  <c:v>15870147</c:v>
                </c:pt>
                <c:pt idx="906">
                  <c:v>18228912</c:v>
                </c:pt>
                <c:pt idx="907">
                  <c:v>16479772</c:v>
                </c:pt>
                <c:pt idx="908">
                  <c:v>9502367</c:v>
                </c:pt>
                <c:pt idx="909">
                  <c:v>23952459</c:v>
                </c:pt>
                <c:pt idx="910">
                  <c:v>12799333</c:v>
                </c:pt>
                <c:pt idx="911">
                  <c:v>14394986</c:v>
                </c:pt>
                <c:pt idx="912">
                  <c:v>6712103</c:v>
                </c:pt>
                <c:pt idx="913">
                  <c:v>8037662</c:v>
                </c:pt>
                <c:pt idx="914">
                  <c:v>6682083</c:v>
                </c:pt>
                <c:pt idx="915">
                  <c:v>7385299</c:v>
                </c:pt>
                <c:pt idx="916">
                  <c:v>21778099</c:v>
                </c:pt>
                <c:pt idx="917">
                  <c:v>7395274</c:v>
                </c:pt>
                <c:pt idx="918">
                  <c:v>12299288</c:v>
                </c:pt>
                <c:pt idx="919">
                  <c:v>10162570</c:v>
                </c:pt>
                <c:pt idx="920">
                  <c:v>13092399</c:v>
                </c:pt>
                <c:pt idx="921">
                  <c:v>30961625</c:v>
                </c:pt>
                <c:pt idx="922">
                  <c:v>8614446</c:v>
                </c:pt>
                <c:pt idx="923">
                  <c:v>6866704</c:v>
                </c:pt>
                <c:pt idx="924">
                  <c:v>6393835</c:v>
                </c:pt>
                <c:pt idx="925">
                  <c:v>7810874</c:v>
                </c:pt>
                <c:pt idx="926">
                  <c:v>8429731</c:v>
                </c:pt>
                <c:pt idx="927">
                  <c:v>7327830</c:v>
                </c:pt>
                <c:pt idx="928">
                  <c:v>11313985</c:v>
                </c:pt>
                <c:pt idx="929">
                  <c:v>8924280</c:v>
                </c:pt>
                <c:pt idx="930">
                  <c:v>6090462</c:v>
                </c:pt>
                <c:pt idx="931">
                  <c:v>5488948</c:v>
                </c:pt>
                <c:pt idx="932">
                  <c:v>5041916</c:v>
                </c:pt>
                <c:pt idx="933">
                  <c:v>11120381</c:v>
                </c:pt>
                <c:pt idx="934">
                  <c:v>11639562</c:v>
                </c:pt>
                <c:pt idx="935">
                  <c:v>8135260</c:v>
                </c:pt>
                <c:pt idx="936">
                  <c:v>6857374</c:v>
                </c:pt>
                <c:pt idx="937">
                  <c:v>19559847</c:v>
                </c:pt>
                <c:pt idx="938">
                  <c:v>19464568</c:v>
                </c:pt>
                <c:pt idx="939">
                  <c:v>13891991</c:v>
                </c:pt>
                <c:pt idx="940">
                  <c:v>6539846</c:v>
                </c:pt>
                <c:pt idx="941">
                  <c:v>7067013</c:v>
                </c:pt>
                <c:pt idx="942">
                  <c:v>14412539</c:v>
                </c:pt>
                <c:pt idx="943">
                  <c:v>8346687</c:v>
                </c:pt>
                <c:pt idx="944">
                  <c:v>5478598</c:v>
                </c:pt>
                <c:pt idx="945">
                  <c:v>22218251</c:v>
                </c:pt>
                <c:pt idx="946">
                  <c:v>13439484</c:v>
                </c:pt>
                <c:pt idx="947">
                  <c:v>26415053</c:v>
                </c:pt>
                <c:pt idx="948">
                  <c:v>7551407</c:v>
                </c:pt>
                <c:pt idx="949">
                  <c:v>11703384</c:v>
                </c:pt>
                <c:pt idx="950">
                  <c:v>8823805</c:v>
                </c:pt>
                <c:pt idx="951">
                  <c:v>6745816</c:v>
                </c:pt>
                <c:pt idx="952">
                  <c:v>12884401</c:v>
                </c:pt>
                <c:pt idx="953">
                  <c:v>31753858</c:v>
                </c:pt>
                <c:pt idx="954">
                  <c:v>9007264</c:v>
                </c:pt>
                <c:pt idx="955">
                  <c:v>19844152</c:v>
                </c:pt>
                <c:pt idx="956">
                  <c:v>12365167</c:v>
                </c:pt>
                <c:pt idx="957">
                  <c:v>14599270</c:v>
                </c:pt>
                <c:pt idx="958">
                  <c:v>19481288</c:v>
                </c:pt>
                <c:pt idx="959">
                  <c:v>18837469</c:v>
                </c:pt>
                <c:pt idx="960">
                  <c:v>11564497</c:v>
                </c:pt>
                <c:pt idx="961">
                  <c:v>8848065</c:v>
                </c:pt>
                <c:pt idx="962">
                  <c:v>16279450</c:v>
                </c:pt>
                <c:pt idx="963">
                  <c:v>13074810</c:v>
                </c:pt>
                <c:pt idx="964">
                  <c:v>13276195</c:v>
                </c:pt>
                <c:pt idx="965">
                  <c:v>18229128</c:v>
                </c:pt>
                <c:pt idx="966">
                  <c:v>26124980</c:v>
                </c:pt>
                <c:pt idx="967">
                  <c:v>37072992</c:v>
                </c:pt>
                <c:pt idx="968">
                  <c:v>22009958</c:v>
                </c:pt>
                <c:pt idx="969">
                  <c:v>14294780</c:v>
                </c:pt>
                <c:pt idx="970">
                  <c:v>13482926</c:v>
                </c:pt>
                <c:pt idx="971">
                  <c:v>19732649</c:v>
                </c:pt>
                <c:pt idx="972">
                  <c:v>9145729</c:v>
                </c:pt>
                <c:pt idx="973">
                  <c:v>17799607</c:v>
                </c:pt>
                <c:pt idx="974">
                  <c:v>18048459</c:v>
                </c:pt>
                <c:pt idx="975">
                  <c:v>9786805</c:v>
                </c:pt>
                <c:pt idx="976">
                  <c:v>15774070</c:v>
                </c:pt>
                <c:pt idx="977">
                  <c:v>11270061</c:v>
                </c:pt>
                <c:pt idx="978">
                  <c:v>8742771</c:v>
                </c:pt>
                <c:pt idx="979">
                  <c:v>15686500</c:v>
                </c:pt>
                <c:pt idx="980">
                  <c:v>9619648</c:v>
                </c:pt>
                <c:pt idx="981">
                  <c:v>8888248</c:v>
                </c:pt>
                <c:pt idx="982">
                  <c:v>9665384</c:v>
                </c:pt>
                <c:pt idx="983">
                  <c:v>10480203</c:v>
                </c:pt>
                <c:pt idx="984">
                  <c:v>20813072</c:v>
                </c:pt>
                <c:pt idx="985">
                  <c:v>15158510</c:v>
                </c:pt>
                <c:pt idx="986">
                  <c:v>22496695</c:v>
                </c:pt>
                <c:pt idx="987">
                  <c:v>13546181</c:v>
                </c:pt>
                <c:pt idx="988">
                  <c:v>16991730</c:v>
                </c:pt>
                <c:pt idx="989">
                  <c:v>18923681</c:v>
                </c:pt>
                <c:pt idx="990">
                  <c:v>12836283</c:v>
                </c:pt>
                <c:pt idx="991">
                  <c:v>17469129</c:v>
                </c:pt>
                <c:pt idx="992">
                  <c:v>18875982</c:v>
                </c:pt>
                <c:pt idx="993">
                  <c:v>12227140</c:v>
                </c:pt>
                <c:pt idx="994">
                  <c:v>14288751</c:v>
                </c:pt>
                <c:pt idx="995">
                  <c:v>13884574</c:v>
                </c:pt>
                <c:pt idx="996">
                  <c:v>12989029</c:v>
                </c:pt>
                <c:pt idx="997">
                  <c:v>14124236</c:v>
                </c:pt>
                <c:pt idx="998">
                  <c:v>11975265</c:v>
                </c:pt>
                <c:pt idx="999">
                  <c:v>12998403</c:v>
                </c:pt>
                <c:pt idx="1000">
                  <c:v>7079032</c:v>
                </c:pt>
                <c:pt idx="1001">
                  <c:v>15355585</c:v>
                </c:pt>
                <c:pt idx="1002">
                  <c:v>8240986</c:v>
                </c:pt>
                <c:pt idx="1003">
                  <c:v>7037625</c:v>
                </c:pt>
                <c:pt idx="1004">
                  <c:v>15760891</c:v>
                </c:pt>
                <c:pt idx="1005">
                  <c:v>19051003</c:v>
                </c:pt>
                <c:pt idx="1006">
                  <c:v>31954776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8-4ED3-AC40-1CC6D4FC2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933552"/>
        <c:axId val="695932832"/>
      </c:areaChart>
      <c:dateAx>
        <c:axId val="69593355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32832"/>
        <c:crosses val="autoZero"/>
        <c:auto val="1"/>
        <c:lblOffset val="100"/>
        <c:baseTimeUnit val="days"/>
      </c:dateAx>
      <c:valAx>
        <c:axId val="695932832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33552"/>
        <c:crosses val="autoZero"/>
        <c:crossBetween val="midCat"/>
        <c:dispUnits>
          <c:builtInUnit val="millions"/>
          <c:dispUnitsLbl>
            <c:layout>
              <c:manualLayout>
                <c:xMode val="edge"/>
                <c:yMode val="edge"/>
                <c:x val="2.3593069706065031E-2"/>
                <c:y val="0.39082490993448171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511520</xdr:colOff>
      <xdr:row>2</xdr:row>
      <xdr:rowOff>38526</xdr:rowOff>
    </xdr:from>
    <xdr:to>
      <xdr:col>1</xdr:col>
      <xdr:colOff>1369218</xdr:colOff>
      <xdr:row>2</xdr:row>
      <xdr:rowOff>929109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1D9CC-9F86-374B-6E44-AB07DD4D8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83" y="443339"/>
          <a:ext cx="857698" cy="890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29460</xdr:colOff>
      <xdr:row>6</xdr:row>
      <xdr:rowOff>157113</xdr:rowOff>
    </xdr:from>
    <xdr:to>
      <xdr:col>12</xdr:col>
      <xdr:colOff>481160</xdr:colOff>
      <xdr:row>16</xdr:row>
      <xdr:rowOff>147293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6FA75-30F4-4EE3-AE48-A1EF07F40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28864</xdr:colOff>
      <xdr:row>19</xdr:row>
      <xdr:rowOff>78556</xdr:rowOff>
    </xdr:from>
    <xdr:to>
      <xdr:col>12</xdr:col>
      <xdr:colOff>432062</xdr:colOff>
      <xdr:row>26</xdr:row>
      <xdr:rowOff>93807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295B05-5DDA-467C-A7AF-FD8AEA2DD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257968</xdr:colOff>
      <xdr:row>29</xdr:row>
      <xdr:rowOff>0</xdr:rowOff>
    </xdr:from>
    <xdr:to>
      <xdr:col>12</xdr:col>
      <xdr:colOff>575468</xdr:colOff>
      <xdr:row>36</xdr:row>
      <xdr:rowOff>178594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AA2CEE-64B9-4254-8CDA-2DA495573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30</xdr:row>
      <xdr:rowOff>28575</xdr:rowOff>
    </xdr:from>
    <xdr:to>
      <xdr:col>15</xdr:col>
      <xdr:colOff>533400</xdr:colOff>
      <xdr:row>44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912605-E249-9973-B255-445530C20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366712</xdr:colOff>
      <xdr:row>1215</xdr:row>
      <xdr:rowOff>28575</xdr:rowOff>
    </xdr:from>
    <xdr:to>
      <xdr:col>13</xdr:col>
      <xdr:colOff>438150</xdr:colOff>
      <xdr:row>1229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68E8FF-CA5D-2A28-ABAF-3E8523D80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1305</xdr:colOff>
      <xdr:row>3</xdr:row>
      <xdr:rowOff>0</xdr:rowOff>
    </xdr:from>
    <xdr:to>
      <xdr:col>7</xdr:col>
      <xdr:colOff>410711</xdr:colOff>
      <xdr:row>16</xdr:row>
      <xdr:rowOff>170213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57176A-654C-44BA-9257-BBA7E7322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265651</xdr:colOff>
      <xdr:row>4</xdr:row>
      <xdr:rowOff>135797</xdr:rowOff>
    </xdr:from>
    <xdr:to>
      <xdr:col>13</xdr:col>
      <xdr:colOff>436927</xdr:colOff>
      <xdr:row>16</xdr:row>
      <xdr:rowOff>96124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06CF70-414A-32CE-25F7-965D6F833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screener.in/excel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2373-2B86-4E1A-B1E5-D61CD4FB2198}">
  <sheetPr>
    <pageSetUpPr fitToPage="1"/>
  </sheetPr>
  <dimension ref="B2:S55"/>
  <sheetViews>
    <sheetView showGridLines="0" tabSelected="1" topLeftCell="A40" zoomScale="96" workbookViewId="0">
      <selection activeCell="B57" sqref="B57"/>
    </sheetView>
  </sheetViews>
  <sheetFormatPr defaultRowHeight="15"/>
  <cols>
    <col min="1" max="1" width="1.85546875" customWidth="1"/>
    <col min="2" max="2" width="43.5703125" bestFit="1" customWidth="1"/>
    <col min="3" max="3" width="16.42578125" bestFit="1" customWidth="1"/>
    <col min="4" max="8" width="12.7109375" customWidth="1"/>
    <col min="9" max="9" width="6.85546875" bestFit="1" customWidth="1"/>
    <col min="10" max="10" width="9" customWidth="1"/>
    <col min="11" max="11" width="7" bestFit="1" customWidth="1"/>
    <col min="13" max="13" width="12" bestFit="1" customWidth="1"/>
    <col min="14" max="19" width="9.140625" style="92"/>
  </cols>
  <sheetData>
    <row r="2" spans="2:13" ht="17.25">
      <c r="B2" s="57" t="str">
        <f>'Data Sheet'!B1&amp;" - One Page Profile"</f>
        <v>ITC LTD - One Page Profile</v>
      </c>
      <c r="C2" s="57"/>
      <c r="D2" s="57"/>
      <c r="E2" s="57"/>
      <c r="F2" s="57"/>
      <c r="G2" s="57"/>
      <c r="H2" s="57"/>
      <c r="I2" s="57"/>
      <c r="J2" s="57"/>
      <c r="K2" s="57"/>
    </row>
    <row r="3" spans="2:13" ht="79.5" customHeight="1">
      <c r="B3" s="25"/>
      <c r="C3" s="58" t="s">
        <v>93</v>
      </c>
      <c r="D3" s="58"/>
      <c r="E3" s="58"/>
      <c r="F3" s="58"/>
      <c r="G3" s="58"/>
      <c r="H3" s="58"/>
      <c r="I3" s="58"/>
      <c r="J3" s="58"/>
      <c r="K3" s="58"/>
    </row>
    <row r="5" spans="2:13">
      <c r="B5" s="28" t="s">
        <v>96</v>
      </c>
    </row>
    <row r="6" spans="2:13" ht="17.25">
      <c r="B6" s="51" t="s">
        <v>94</v>
      </c>
      <c r="C6" s="51"/>
      <c r="D6" s="53">
        <f>'Data Sheet'!G16</f>
        <v>44286</v>
      </c>
      <c r="E6" s="53">
        <f>'Data Sheet'!H16</f>
        <v>44651</v>
      </c>
      <c r="F6" s="53">
        <f>'Data Sheet'!I16</f>
        <v>45016</v>
      </c>
      <c r="G6" s="53">
        <f>'Data Sheet'!J16</f>
        <v>45382</v>
      </c>
      <c r="H6" s="53">
        <f>'Data Sheet'!K16</f>
        <v>45747</v>
      </c>
      <c r="J6" s="53" t="s">
        <v>115</v>
      </c>
      <c r="K6" s="26"/>
      <c r="L6" s="26"/>
      <c r="M6" s="26"/>
    </row>
    <row r="8" spans="2:13">
      <c r="B8" s="64" t="s">
        <v>95</v>
      </c>
      <c r="C8" s="64"/>
      <c r="D8" s="65">
        <f>'Data Sheet'!G17</f>
        <v>49257.45</v>
      </c>
      <c r="E8" s="65">
        <f>'Data Sheet'!H17</f>
        <v>60644.54</v>
      </c>
      <c r="F8" s="65">
        <f>'Data Sheet'!I17</f>
        <v>70919.03</v>
      </c>
      <c r="G8" s="65">
        <f>'Data Sheet'!J17</f>
        <v>67931.94</v>
      </c>
      <c r="H8" s="65">
        <f>'Data Sheet'!K17</f>
        <v>75323.34</v>
      </c>
    </row>
    <row r="9" spans="2:13">
      <c r="B9" s="64" t="s">
        <v>98</v>
      </c>
      <c r="C9" s="64"/>
      <c r="D9" s="66">
        <f>'Data Sheet'!G34</f>
        <v>-2.6372963308678443E-3</v>
      </c>
      <c r="E9" s="66">
        <f>'Data Sheet'!H34</f>
        <v>0.23117497962237188</v>
      </c>
      <c r="F9" s="66">
        <f>'Data Sheet'!I34</f>
        <v>0.1694215175842706</v>
      </c>
      <c r="G9" s="66">
        <f>'Data Sheet'!J34</f>
        <v>-4.2119724423754779E-2</v>
      </c>
      <c r="H9" s="66">
        <f>'Data Sheet'!K34</f>
        <v>0.10880596078957838</v>
      </c>
    </row>
    <row r="10" spans="2:13">
      <c r="B10" s="64" t="s">
        <v>101</v>
      </c>
      <c r="C10" s="64"/>
      <c r="D10" s="66">
        <f>'Data Sheet'!G37</f>
        <v>0.51867747924425645</v>
      </c>
      <c r="E10" s="66">
        <f>'Data Sheet'!H37</f>
        <v>0.49650026201864172</v>
      </c>
      <c r="F10" s="66">
        <f>'Data Sheet'!I37</f>
        <v>0.53068887152009836</v>
      </c>
      <c r="G10" s="66">
        <f>'Data Sheet'!J37</f>
        <v>0.54582483585777175</v>
      </c>
      <c r="H10" s="66">
        <f>'Data Sheet'!K37</f>
        <v>0.51209372818571242</v>
      </c>
    </row>
    <row r="11" spans="2:13">
      <c r="B11" s="64" t="s">
        <v>102</v>
      </c>
      <c r="C11" s="64"/>
      <c r="D11" s="66">
        <f>'Profit &amp; Loss'!G6/'Profit &amp; Loss'!G4</f>
        <v>0.34644058919006154</v>
      </c>
      <c r="E11" s="66">
        <f>'Profit &amp; Loss'!H6/'Profit &amp; Loss'!H4</f>
        <v>0.3400660636555245</v>
      </c>
      <c r="F11" s="66">
        <f>'Profit &amp; Loss'!I6/'Profit &amp; Loss'!I4</f>
        <v>0.36244517162741785</v>
      </c>
      <c r="G11" s="66">
        <f>'Profit &amp; Loss'!J6/'Profit &amp; Loss'!J4</f>
        <v>0.37077595605248426</v>
      </c>
      <c r="H11" s="66">
        <f>'Profit &amp; Loss'!K6/'Profit &amp; Loss'!K4</f>
        <v>0.34304705553418102</v>
      </c>
    </row>
    <row r="12" spans="2:13">
      <c r="B12" s="64" t="s">
        <v>104</v>
      </c>
      <c r="C12" s="64"/>
      <c r="D12" s="66">
        <f>'Profit &amp; Loss'!G27</f>
        <v>0.31303264785326884</v>
      </c>
      <c r="E12" s="66">
        <f>'Profit &amp; Loss'!H27</f>
        <v>0.3114994358931571</v>
      </c>
      <c r="F12" s="66">
        <f>'Profit &amp; Loss'!I27</f>
        <v>0.33693706752616326</v>
      </c>
      <c r="G12" s="66">
        <f>'Profit &amp; Loss'!J27</f>
        <v>0.34842932499793172</v>
      </c>
      <c r="H12" s="66">
        <f>'Profit &amp; Loss'!K27</f>
        <v>0.3211903508261848</v>
      </c>
    </row>
    <row r="13" spans="2:13">
      <c r="B13" s="64" t="s">
        <v>106</v>
      </c>
      <c r="C13" s="64"/>
      <c r="D13" s="66">
        <f>'Profit &amp; Loss'!G28</f>
        <v>0.26719186640802561</v>
      </c>
      <c r="E13" s="66">
        <f>'Profit &amp; Loss'!H28</f>
        <v>0.25134430898478244</v>
      </c>
      <c r="F13" s="66">
        <f>'Profit &amp; Loss'!I28</f>
        <v>0.27061368436652333</v>
      </c>
      <c r="G13" s="66">
        <f>'Profit &amp; Loss'!J28</f>
        <v>0.30116584334261615</v>
      </c>
      <c r="H13" s="66">
        <f>'Profit &amp; Loss'!K28</f>
        <v>0.46129964497060272</v>
      </c>
      <c r="I13" s="5"/>
    </row>
    <row r="14" spans="2:13">
      <c r="B14" s="64" t="s">
        <v>107</v>
      </c>
      <c r="C14" s="64"/>
      <c r="D14" s="67">
        <f>'Profit &amp; Loss'!G13</f>
        <v>10.692504549590536</v>
      </c>
      <c r="E14" s="67">
        <f>'Profit &amp; Loss'!H13</f>
        <v>12.368975842509718</v>
      </c>
      <c r="F14" s="67">
        <f>'Profit &amp; Loss'!I13</f>
        <v>15.442275506919859</v>
      </c>
      <c r="G14" s="67">
        <f>'Profit &amp; Loss'!J13</f>
        <v>16.387081788108645</v>
      </c>
      <c r="H14" s="67">
        <f>'Profit &amp; Loss'!K13</f>
        <v>27.765983970081745</v>
      </c>
    </row>
    <row r="15" spans="2:13">
      <c r="B15" s="64" t="s">
        <v>110</v>
      </c>
      <c r="C15" s="64"/>
      <c r="D15" s="66">
        <f>'Profit &amp; Loss'!G29</f>
        <v>-0.14130125821657724</v>
      </c>
      <c r="E15" s="66">
        <f>'Profit &amp; Loss'!H29</f>
        <v>0.15678939252669122</v>
      </c>
      <c r="F15" s="66">
        <f>'Profit &amp; Loss'!I29</f>
        <v>0.24846840219768396</v>
      </c>
      <c r="G15" s="66">
        <f>'Profit &amp; Loss'!J29</f>
        <v>6.1183099651693551E-2</v>
      </c>
      <c r="H15" s="66">
        <f>'Profit &amp; Loss'!K29</f>
        <v>0.69438246108164581</v>
      </c>
    </row>
    <row r="16" spans="2:13">
      <c r="B16" s="64" t="s">
        <v>111</v>
      </c>
      <c r="C16" s="64"/>
      <c r="D16" s="67">
        <f>'Profit &amp; Loss'!G30</f>
        <v>10.749999999999998</v>
      </c>
      <c r="E16" s="67">
        <f>'Profit &amp; Loss'!H30</f>
        <v>11.500004057354767</v>
      </c>
      <c r="F16" s="67">
        <f>'Profit &amp; Loss'!I30</f>
        <v>15.500000000000004</v>
      </c>
      <c r="G16" s="67">
        <f>'Profit &amp; Loss'!J30</f>
        <v>13.749997997549</v>
      </c>
      <c r="H16" s="67">
        <f>'Profit &amp; Loss'!K30</f>
        <v>14.349997203154841</v>
      </c>
    </row>
    <row r="17" spans="2:13">
      <c r="B17" s="64" t="s">
        <v>112</v>
      </c>
      <c r="C17" s="64"/>
      <c r="D17" s="66">
        <f>'Profit &amp; Loss'!G31</f>
        <v>5.9113555156941722E-2</v>
      </c>
      <c r="E17" s="66">
        <f>'Profit &amp; Loss'!H31</f>
        <v>6.9767819288815591E-2</v>
      </c>
      <c r="F17" s="66">
        <f>'Profit &amp; Loss'!I31</f>
        <v>0.34782561142550739</v>
      </c>
      <c r="G17" s="66">
        <f>'Profit &amp; Loss'!J31</f>
        <v>-0.1129033549968389</v>
      </c>
      <c r="H17" s="66">
        <f>'Profit &amp; Loss'!K31</f>
        <v>4.3636312217121276E-2</v>
      </c>
    </row>
    <row r="19" spans="2:13" ht="17.25">
      <c r="B19" s="51" t="s">
        <v>124</v>
      </c>
      <c r="C19" s="51"/>
      <c r="D19" s="53">
        <f>D6</f>
        <v>44286</v>
      </c>
      <c r="E19" s="53">
        <f>E6</f>
        <v>44651</v>
      </c>
      <c r="F19" s="53">
        <f>F6</f>
        <v>45016</v>
      </c>
      <c r="G19" s="53">
        <f>G6</f>
        <v>45382</v>
      </c>
      <c r="H19" s="53">
        <f>H6</f>
        <v>45747</v>
      </c>
      <c r="J19" s="53" t="s">
        <v>130</v>
      </c>
      <c r="K19" s="26"/>
      <c r="L19" s="26"/>
      <c r="M19" s="26"/>
    </row>
    <row r="21" spans="2:13">
      <c r="B21" s="64" t="s">
        <v>23</v>
      </c>
      <c r="C21" s="64"/>
      <c r="D21" s="68">
        <f>'Profit &amp; Loss'!G14</f>
        <v>19.155474664525016</v>
      </c>
      <c r="E21" s="68">
        <f>'Profit &amp; Loss'!H14</f>
        <v>18.995913889045614</v>
      </c>
      <c r="F21" s="68">
        <f>'Profit &amp; Loss'!I14</f>
        <v>23.279600201337455</v>
      </c>
      <c r="G21" s="68">
        <f>'Profit &amp; Loss'!J14</f>
        <v>24.502837368601647</v>
      </c>
      <c r="H21" s="68">
        <f>'Profit &amp; Loss'!K14</f>
        <v>14.757265596692401</v>
      </c>
    </row>
    <row r="22" spans="2:13">
      <c r="B22" s="64" t="s">
        <v>125</v>
      </c>
      <c r="C22" s="64"/>
      <c r="D22" s="68">
        <f>'Profit &amp; Loss'!G38</f>
        <v>14.516486681926171</v>
      </c>
      <c r="E22" s="68">
        <f>'Profit &amp; Loss'!H38</f>
        <v>13.826368755500493</v>
      </c>
      <c r="F22" s="68">
        <f>'Profit &amp; Loss'!I38</f>
        <v>17.203374926957636</v>
      </c>
      <c r="G22" s="68">
        <f>'Profit &amp; Loss'!J38</f>
        <v>19.628121896033473</v>
      </c>
      <c r="H22" s="68">
        <f>'Profit &amp; Loss'!K38</f>
        <v>19.700010158884965</v>
      </c>
    </row>
    <row r="23" spans="2:13">
      <c r="B23" s="64" t="s">
        <v>126</v>
      </c>
      <c r="C23" s="64"/>
      <c r="D23" s="68">
        <f>'Profit &amp; Loss'!G39</f>
        <v>5.0291001990561837</v>
      </c>
      <c r="E23" s="68">
        <f>'Profit &amp; Loss'!H39</f>
        <v>4.7018787973327854</v>
      </c>
      <c r="F23" s="68">
        <f>'Profit &amp; Loss'!I39</f>
        <v>6.2352801779719771</v>
      </c>
      <c r="G23" s="68">
        <f>'Profit &amp; Loss'!J39</f>
        <v>7.2776356615165119</v>
      </c>
      <c r="H23" s="68">
        <f>'Profit &amp; Loss'!K39</f>
        <v>6.7580304789989407</v>
      </c>
    </row>
    <row r="24" spans="2:13">
      <c r="B24" s="64" t="s">
        <v>123</v>
      </c>
      <c r="C24" s="64"/>
      <c r="D24" s="68">
        <f>'Profit &amp; Loss'!G40</f>
        <v>4.1049141784874035</v>
      </c>
      <c r="E24" s="68">
        <f>'Profit &amp; Loss'!H40</f>
        <v>4.5655379784381118</v>
      </c>
      <c r="F24" s="68">
        <f>'Profit &amp; Loss'!I40</f>
        <v>6.3943078516370253</v>
      </c>
      <c r="G24" s="68">
        <f>'Profit &amp; Loss'!J40</f>
        <v>6.6354021648972576</v>
      </c>
      <c r="H24" s="68">
        <f>'Profit &amp; Loss'!K40</f>
        <v>7.2688428396095679</v>
      </c>
    </row>
    <row r="25" spans="2:13">
      <c r="B25" s="64" t="s">
        <v>128</v>
      </c>
      <c r="C25" s="64"/>
      <c r="D25" s="66">
        <f>'Balance Sheet'!G23</f>
        <v>0.21809063995198466</v>
      </c>
      <c r="E25" s="66">
        <f>'Balance Sheet'!H23</f>
        <v>0.24405605456807136</v>
      </c>
      <c r="F25" s="66">
        <f>'Balance Sheet'!I23</f>
        <v>0.2775155497933201</v>
      </c>
      <c r="G25" s="66">
        <f>'Balance Sheet'!J23</f>
        <v>0.27458869636409999</v>
      </c>
      <c r="H25" s="66">
        <f>'Balance Sheet'!K23</f>
        <v>0.49616743098141436</v>
      </c>
    </row>
    <row r="26" spans="2:13">
      <c r="B26" s="64" t="s">
        <v>127</v>
      </c>
      <c r="C26" s="64"/>
      <c r="D26" s="66">
        <f>'Balance Sheet'!G24</f>
        <v>0.28527066262298589</v>
      </c>
      <c r="E26" s="66">
        <f>'Balance Sheet'!H24</f>
        <v>0.33733252742915004</v>
      </c>
      <c r="F26" s="66">
        <f>'Balance Sheet'!I24</f>
        <v>0.39333609298769096</v>
      </c>
      <c r="G26" s="66">
        <f>'Balance Sheet'!J24</f>
        <v>0.3742927321936183</v>
      </c>
      <c r="H26" s="66">
        <f>'Balance Sheet'!K24</f>
        <v>0.57864605289976878</v>
      </c>
    </row>
    <row r="28" spans="2:13" ht="17.25">
      <c r="B28" s="51" t="s">
        <v>243</v>
      </c>
      <c r="C28" s="52" t="str">
        <f>Input!C24</f>
        <v>N. share (in Crs.)</v>
      </c>
      <c r="D28" s="51"/>
      <c r="E28" s="55" t="str">
        <f>Input!D24</f>
        <v>Shareholding (%)</v>
      </c>
      <c r="F28" s="55"/>
      <c r="G28" s="56" t="str">
        <f>Input!E24</f>
        <v>Market Value (in Crs)</v>
      </c>
      <c r="H28" s="56"/>
      <c r="J28" s="53" t="s">
        <v>242</v>
      </c>
      <c r="K28" s="26"/>
      <c r="L28" s="26"/>
      <c r="M28" s="26"/>
    </row>
    <row r="29" spans="2:13" ht="3.75" customHeight="1">
      <c r="B29" s="36"/>
    </row>
    <row r="30" spans="2:13">
      <c r="B30" s="69" t="str">
        <f>Input!B25</f>
        <v>Tobacco Manufacturers (India) Limited</v>
      </c>
      <c r="C30" s="64"/>
      <c r="D30" s="70">
        <f>Input!C25</f>
        <v>222.8495863</v>
      </c>
      <c r="E30" s="64"/>
      <c r="F30" s="71">
        <f>Input!D25</f>
        <v>0.1779</v>
      </c>
      <c r="G30" s="64"/>
      <c r="H30" s="70">
        <f>Input!E25</f>
        <v>71089.018029700004</v>
      </c>
    </row>
    <row r="31" spans="2:13">
      <c r="B31" s="69" t="str">
        <f>Input!B26</f>
        <v>Life Insurance Corporation of India</v>
      </c>
      <c r="C31" s="64"/>
      <c r="D31" s="70">
        <f>Input!C26</f>
        <v>196.57973699999999</v>
      </c>
      <c r="E31" s="64"/>
      <c r="F31" s="71">
        <f>Input!D26</f>
        <v>0.15689999999999998</v>
      </c>
      <c r="G31" s="64"/>
      <c r="H31" s="70">
        <f>Input!E26</f>
        <v>62708.936103</v>
      </c>
    </row>
    <row r="32" spans="2:13">
      <c r="B32" s="69" t="str">
        <f>Input!B27</f>
        <v>Specified Undertaking of the Unit Trust of India</v>
      </c>
      <c r="C32" s="64"/>
      <c r="D32" s="70">
        <f>Input!C27</f>
        <v>97.453142700000001</v>
      </c>
      <c r="E32" s="64"/>
      <c r="F32" s="71">
        <f>Input!D27</f>
        <v>7.7800000000000008E-2</v>
      </c>
      <c r="G32" s="64"/>
      <c r="H32" s="70">
        <f>Input!E27</f>
        <v>31087.5525213</v>
      </c>
    </row>
    <row r="33" spans="2:14">
      <c r="B33" s="69" t="str">
        <f>Input!B28</f>
        <v>Myddleton Investment Company Limited</v>
      </c>
      <c r="C33" s="64"/>
      <c r="D33" s="70">
        <f>Input!C28</f>
        <v>48.631194000000001</v>
      </c>
      <c r="E33" s="64"/>
      <c r="F33" s="71">
        <f>Input!D28</f>
        <v>3.8800000000000001E-2</v>
      </c>
      <c r="G33" s="64"/>
      <c r="H33" s="70">
        <f>Input!E28</f>
        <v>15513.350886</v>
      </c>
    </row>
    <row r="34" spans="2:14">
      <c r="B34" s="69" t="str">
        <f>Input!B29</f>
        <v>SBI Mutual Funds</v>
      </c>
      <c r="C34" s="64"/>
      <c r="D34" s="70">
        <f>Input!C29</f>
        <v>41.195288699999999</v>
      </c>
      <c r="E34" s="64"/>
      <c r="F34" s="71">
        <f>Input!D29</f>
        <v>3.2899999999999999E-2</v>
      </c>
      <c r="G34" s="64"/>
      <c r="H34" s="70">
        <f>Input!E29</f>
        <v>13141.2970953</v>
      </c>
    </row>
    <row r="35" spans="2:14">
      <c r="B35" s="69" t="str">
        <f>Input!B30</f>
        <v>ICICI Prudential Mutual Funds</v>
      </c>
      <c r="C35" s="64"/>
      <c r="D35" s="70">
        <f>Input!C30</f>
        <v>38.825180199999998</v>
      </c>
      <c r="E35" s="64"/>
      <c r="F35" s="71">
        <f>Input!D30</f>
        <v>3.1E-2</v>
      </c>
      <c r="G35" s="64"/>
      <c r="H35" s="70">
        <f>Input!E30</f>
        <v>12385.232483799999</v>
      </c>
    </row>
    <row r="36" spans="2:14">
      <c r="B36" s="69" t="str">
        <f>Input!B31</f>
        <v>QIB - Insurance Company Registered</v>
      </c>
      <c r="C36" s="64"/>
      <c r="D36" s="70">
        <f>Input!C31</f>
        <v>31.2813783</v>
      </c>
      <c r="E36" s="64"/>
      <c r="F36" s="71">
        <f>Input!D31</f>
        <v>2.5000000000000001E-2</v>
      </c>
      <c r="G36" s="64"/>
      <c r="H36" s="70">
        <f>Input!E31</f>
        <v>9978.7596776999999</v>
      </c>
    </row>
    <row r="37" spans="2:14">
      <c r="B37" s="69" t="str">
        <f>Input!B32</f>
        <v>GQG Partners Emerging Markets Equity Fund</v>
      </c>
      <c r="C37" s="64"/>
      <c r="D37" s="70">
        <f>Input!C32</f>
        <v>22.380053</v>
      </c>
      <c r="E37" s="64"/>
      <c r="F37" s="71">
        <f>Input!D32</f>
        <v>1.7899999999999999E-2</v>
      </c>
      <c r="G37" s="64"/>
      <c r="H37" s="70">
        <f>Input!E32</f>
        <v>7139.2369070000004</v>
      </c>
    </row>
    <row r="38" spans="2:14">
      <c r="B38" s="69" t="str">
        <f>Input!B33</f>
        <v>General Insurance Corporation of India</v>
      </c>
      <c r="C38" s="64"/>
      <c r="D38" s="70">
        <f>Input!C33</f>
        <v>21.708550800000001</v>
      </c>
      <c r="E38" s="64"/>
      <c r="F38" s="71">
        <f>Input!D33</f>
        <v>1.7299999999999999E-2</v>
      </c>
      <c r="G38" s="64"/>
      <c r="H38" s="70">
        <f>Input!E33</f>
        <v>6925.0277052000001</v>
      </c>
    </row>
    <row r="39" spans="2:14">
      <c r="B39" s="69" t="str">
        <f>Input!B34</f>
        <v>NPS Trust (various Pension Funds)</v>
      </c>
      <c r="C39" s="64"/>
      <c r="D39" s="70">
        <f>Input!C34</f>
        <v>20.230529600000001</v>
      </c>
      <c r="E39" s="64"/>
      <c r="F39" s="71">
        <f>Input!D34</f>
        <v>1.6200000000000003E-2</v>
      </c>
      <c r="G39" s="64"/>
      <c r="H39" s="70">
        <f>Input!E34</f>
        <v>6453.5389424000005</v>
      </c>
    </row>
    <row r="40" spans="2:14">
      <c r="B40" s="72"/>
      <c r="C40" s="73"/>
      <c r="D40" s="74"/>
      <c r="E40" s="73"/>
      <c r="F40" s="75"/>
      <c r="G40" s="73"/>
      <c r="H40" s="74"/>
    </row>
    <row r="41" spans="2:14" ht="17.25">
      <c r="B41" s="51" t="s">
        <v>255</v>
      </c>
      <c r="C41" s="51" t="s">
        <v>256</v>
      </c>
      <c r="D41" s="51"/>
      <c r="E41" s="76" t="s">
        <v>273</v>
      </c>
      <c r="F41" s="76"/>
      <c r="G41" s="56" t="s">
        <v>257</v>
      </c>
      <c r="H41" s="56"/>
      <c r="J41" s="53" t="s">
        <v>248</v>
      </c>
      <c r="K41" s="26"/>
      <c r="L41" s="26"/>
      <c r="M41" s="26"/>
    </row>
    <row r="42" spans="2:14">
      <c r="B42" s="36"/>
    </row>
    <row r="43" spans="2:14">
      <c r="B43" s="64" t="s">
        <v>258</v>
      </c>
      <c r="C43" s="64" t="s">
        <v>262</v>
      </c>
      <c r="D43" s="64"/>
      <c r="E43" s="64">
        <v>25.66</v>
      </c>
      <c r="F43" s="64"/>
      <c r="G43" s="77" t="s">
        <v>266</v>
      </c>
      <c r="H43" s="78"/>
      <c r="J43" s="80" t="s">
        <v>249</v>
      </c>
      <c r="K43" s="80"/>
      <c r="L43" s="80"/>
      <c r="M43" s="81">
        <f>'Data Sheet'!B8</f>
        <v>325.39999999999998</v>
      </c>
    </row>
    <row r="44" spans="2:14">
      <c r="B44" s="64" t="s">
        <v>259</v>
      </c>
      <c r="C44" s="64" t="s">
        <v>263</v>
      </c>
      <c r="D44" s="64"/>
      <c r="E44" s="64">
        <v>8.5299999999999994</v>
      </c>
      <c r="F44" s="64"/>
      <c r="G44" s="77" t="s">
        <v>267</v>
      </c>
      <c r="H44" s="78"/>
      <c r="J44" s="82" t="s">
        <v>250</v>
      </c>
      <c r="K44" s="82"/>
      <c r="L44" s="82"/>
      <c r="M44" s="83">
        <f>'Data Sheet'!B6</f>
        <v>1252.9229256299939</v>
      </c>
    </row>
    <row r="45" spans="2:14" ht="15.75" thickBot="1">
      <c r="B45" s="64" t="s">
        <v>260</v>
      </c>
      <c r="C45" s="64" t="s">
        <v>265</v>
      </c>
      <c r="D45" s="64"/>
      <c r="E45" s="64">
        <v>4.9400000000000004</v>
      </c>
      <c r="F45" s="64"/>
      <c r="G45" s="77" t="s">
        <v>268</v>
      </c>
      <c r="H45" s="78"/>
      <c r="J45" s="87" t="s">
        <v>79</v>
      </c>
      <c r="K45" s="87"/>
      <c r="L45" s="87"/>
      <c r="M45" s="88">
        <f>M43*M44</f>
        <v>407701.12</v>
      </c>
    </row>
    <row r="46" spans="2:14">
      <c r="B46" s="64" t="s">
        <v>261</v>
      </c>
      <c r="C46" s="64" t="s">
        <v>264</v>
      </c>
      <c r="D46" s="64"/>
      <c r="E46" s="64">
        <v>11.81</v>
      </c>
      <c r="F46" s="64"/>
      <c r="G46" s="77" t="s">
        <v>269</v>
      </c>
      <c r="H46" s="78"/>
      <c r="J46" s="84" t="s">
        <v>251</v>
      </c>
      <c r="K46" s="85"/>
      <c r="L46" s="85"/>
      <c r="M46" s="86">
        <f>'Data Sheet'!K69*-1</f>
        <v>-4012.36</v>
      </c>
    </row>
    <row r="47" spans="2:14">
      <c r="B47" s="64" t="s">
        <v>270</v>
      </c>
      <c r="C47" s="64" t="s">
        <v>271</v>
      </c>
      <c r="D47" s="64"/>
      <c r="E47" s="79">
        <v>3.11</v>
      </c>
      <c r="F47" s="64"/>
      <c r="G47" s="77" t="s">
        <v>272</v>
      </c>
      <c r="H47" s="78"/>
      <c r="J47" s="89" t="s">
        <v>252</v>
      </c>
      <c r="K47" s="82"/>
      <c r="L47" s="82"/>
      <c r="M47" s="83">
        <f>'Data Sheet'!K59</f>
        <v>284.54000000000002</v>
      </c>
    </row>
    <row r="48" spans="2:14" ht="15.75" thickBot="1">
      <c r="J48" s="87" t="s">
        <v>254</v>
      </c>
      <c r="K48" s="90"/>
      <c r="L48" s="90"/>
      <c r="M48" s="91">
        <f>SUM(M45:M47)</f>
        <v>403973.3</v>
      </c>
      <c r="N48" s="92" t="s">
        <v>253</v>
      </c>
    </row>
    <row r="49" spans="2:13">
      <c r="J49" s="63"/>
    </row>
    <row r="50" spans="2:13" ht="15.75">
      <c r="B50" s="51" t="s">
        <v>274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</row>
    <row r="51" spans="2:13">
      <c r="J51" s="63"/>
    </row>
    <row r="52" spans="2:13" ht="15.75">
      <c r="B52" s="93" t="s">
        <v>275</v>
      </c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</row>
    <row r="53" spans="2:13" ht="15.75">
      <c r="B53" s="94" t="s">
        <v>276</v>
      </c>
      <c r="C53" s="94"/>
      <c r="D53" s="94"/>
      <c r="E53" s="94"/>
      <c r="F53" s="94"/>
      <c r="G53" s="94"/>
      <c r="H53" s="94"/>
      <c r="I53" s="94"/>
      <c r="J53" s="95"/>
      <c r="K53" s="94"/>
      <c r="L53" s="94"/>
      <c r="M53" s="94"/>
    </row>
    <row r="54" spans="2:13" ht="15.75">
      <c r="B54" s="94" t="s">
        <v>277</v>
      </c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</row>
    <row r="55" spans="2:13" ht="15.75">
      <c r="B55" s="94" t="s">
        <v>278</v>
      </c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</row>
  </sheetData>
  <mergeCells count="11">
    <mergeCell ref="G47:H47"/>
    <mergeCell ref="B52:M52"/>
    <mergeCell ref="G43:H43"/>
    <mergeCell ref="G44:H44"/>
    <mergeCell ref="G45:H45"/>
    <mergeCell ref="G46:H46"/>
    <mergeCell ref="E28:F28"/>
    <mergeCell ref="G28:H28"/>
    <mergeCell ref="B2:K2"/>
    <mergeCell ref="C3:K3"/>
    <mergeCell ref="G41:H41"/>
  </mergeCells>
  <pageMargins left="0.25" right="0.25" top="0.75" bottom="0.75" header="0.3" footer="0.3"/>
  <pageSetup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68E8-0AD4-4382-A58F-A2BEDA4EE633}">
  <dimension ref="B2:M39"/>
  <sheetViews>
    <sheetView showGridLines="0" topLeftCell="A26" workbookViewId="0">
      <selection activeCell="Q41" sqref="Q41"/>
    </sheetView>
  </sheetViews>
  <sheetFormatPr defaultRowHeight="15"/>
  <cols>
    <col min="1" max="1" width="9.140625" style="30"/>
    <col min="2" max="2" width="12.5703125" style="30" bestFit="1" customWidth="1"/>
    <col min="3" max="11" width="7.140625" style="30" bestFit="1" customWidth="1"/>
    <col min="12" max="12" width="7" style="30" bestFit="1" customWidth="1"/>
    <col min="13" max="16384" width="9.140625" style="30"/>
  </cols>
  <sheetData>
    <row r="2" spans="2:13" ht="17.25">
      <c r="B2" s="60" t="s">
        <v>242</v>
      </c>
      <c r="C2" s="60"/>
      <c r="D2" s="60"/>
      <c r="E2" s="60"/>
      <c r="F2" s="60"/>
      <c r="G2" s="60"/>
      <c r="H2" s="60"/>
      <c r="I2" s="60"/>
      <c r="J2" s="60"/>
      <c r="K2" s="60"/>
    </row>
    <row r="3" spans="2:13" ht="75">
      <c r="B3" s="40"/>
      <c r="C3" s="39" t="s">
        <v>131</v>
      </c>
      <c r="D3" s="39" t="s">
        <v>132</v>
      </c>
      <c r="E3" s="39" t="s">
        <v>133</v>
      </c>
      <c r="F3" s="39" t="s">
        <v>134</v>
      </c>
      <c r="G3" s="39" t="s">
        <v>135</v>
      </c>
      <c r="H3" s="39" t="s">
        <v>136</v>
      </c>
      <c r="I3" s="39" t="s">
        <v>137</v>
      </c>
      <c r="J3" s="39" t="s">
        <v>138</v>
      </c>
      <c r="K3" s="39" t="s">
        <v>139</v>
      </c>
    </row>
    <row r="4" spans="2:13">
      <c r="B4" s="40" t="s">
        <v>140</v>
      </c>
      <c r="C4" s="40" t="s">
        <v>141</v>
      </c>
      <c r="D4" s="41" t="s">
        <v>142</v>
      </c>
      <c r="E4" s="41" t="s">
        <v>142</v>
      </c>
      <c r="F4" s="41" t="s">
        <v>142</v>
      </c>
      <c r="G4" s="41" t="s">
        <v>142</v>
      </c>
      <c r="H4" s="41" t="s">
        <v>142</v>
      </c>
      <c r="I4" s="41" t="s">
        <v>142</v>
      </c>
      <c r="J4" s="41" t="s">
        <v>142</v>
      </c>
      <c r="K4" s="41" t="s">
        <v>142</v>
      </c>
    </row>
    <row r="5" spans="2:13">
      <c r="B5" s="40" t="s">
        <v>143</v>
      </c>
      <c r="C5" s="40" t="s">
        <v>141</v>
      </c>
      <c r="D5" s="41" t="s">
        <v>142</v>
      </c>
      <c r="E5" s="41" t="s">
        <v>142</v>
      </c>
      <c r="F5" s="41" t="s">
        <v>142</v>
      </c>
      <c r="G5" s="41" t="s">
        <v>142</v>
      </c>
      <c r="H5" s="41" t="s">
        <v>142</v>
      </c>
      <c r="I5" s="41" t="s">
        <v>142</v>
      </c>
      <c r="J5" s="41" t="s">
        <v>142</v>
      </c>
      <c r="K5" s="41" t="s">
        <v>142</v>
      </c>
    </row>
    <row r="6" spans="2:13">
      <c r="B6" s="40" t="s">
        <v>144</v>
      </c>
      <c r="C6" s="40" t="s">
        <v>141</v>
      </c>
      <c r="D6" s="41" t="s">
        <v>142</v>
      </c>
      <c r="E6" s="41" t="s">
        <v>142</v>
      </c>
      <c r="F6" s="41" t="s">
        <v>142</v>
      </c>
      <c r="G6" s="41" t="s">
        <v>142</v>
      </c>
      <c r="H6" s="41" t="s">
        <v>142</v>
      </c>
      <c r="I6" s="41" t="s">
        <v>142</v>
      </c>
      <c r="J6" s="41" t="s">
        <v>142</v>
      </c>
      <c r="K6" s="41" t="s">
        <v>142</v>
      </c>
    </row>
    <row r="7" spans="2:13">
      <c r="B7" s="40" t="s">
        <v>145</v>
      </c>
      <c r="C7" s="40" t="s">
        <v>141</v>
      </c>
      <c r="D7" s="41" t="s">
        <v>146</v>
      </c>
      <c r="E7" s="41" t="s">
        <v>147</v>
      </c>
      <c r="F7" s="41" t="s">
        <v>148</v>
      </c>
      <c r="G7" s="41" t="s">
        <v>149</v>
      </c>
      <c r="H7" s="41" t="s">
        <v>149</v>
      </c>
      <c r="I7" s="41" t="s">
        <v>150</v>
      </c>
      <c r="J7" s="41" t="s">
        <v>151</v>
      </c>
      <c r="K7" s="41" t="s">
        <v>152</v>
      </c>
    </row>
    <row r="8" spans="2:13">
      <c r="B8" s="40" t="s">
        <v>153</v>
      </c>
      <c r="C8" s="40" t="s">
        <v>141</v>
      </c>
      <c r="D8" s="41">
        <v>28.04</v>
      </c>
      <c r="E8" s="41" t="s">
        <v>154</v>
      </c>
      <c r="F8" s="41" t="s">
        <v>155</v>
      </c>
      <c r="G8" s="41" t="s">
        <v>156</v>
      </c>
      <c r="H8" s="41" t="s">
        <v>157</v>
      </c>
      <c r="I8" s="41" t="s">
        <v>158</v>
      </c>
      <c r="J8" s="41" t="s">
        <v>158</v>
      </c>
      <c r="K8" s="41" t="s">
        <v>159</v>
      </c>
      <c r="M8" s="42"/>
    </row>
    <row r="9" spans="2:13">
      <c r="B9" s="40" t="s">
        <v>160</v>
      </c>
      <c r="C9" s="40" t="s">
        <v>141</v>
      </c>
      <c r="D9" s="41" t="s">
        <v>161</v>
      </c>
      <c r="E9" s="41" t="s">
        <v>161</v>
      </c>
      <c r="F9" s="41" t="s">
        <v>161</v>
      </c>
      <c r="G9" s="41" t="s">
        <v>161</v>
      </c>
      <c r="H9" s="41" t="s">
        <v>161</v>
      </c>
      <c r="I9" s="41" t="s">
        <v>161</v>
      </c>
      <c r="J9" s="41" t="s">
        <v>161</v>
      </c>
      <c r="K9" s="41" t="s">
        <v>161</v>
      </c>
    </row>
    <row r="10" spans="2:13">
      <c r="B10" s="40" t="s">
        <v>162</v>
      </c>
      <c r="C10" s="40" t="s">
        <v>141</v>
      </c>
      <c r="D10" s="41" t="s">
        <v>163</v>
      </c>
      <c r="E10" s="41" t="s">
        <v>164</v>
      </c>
      <c r="F10" s="41" t="s">
        <v>165</v>
      </c>
      <c r="G10" s="41" t="s">
        <v>166</v>
      </c>
      <c r="H10" s="41" t="s">
        <v>167</v>
      </c>
      <c r="I10" s="41" t="s">
        <v>168</v>
      </c>
      <c r="J10" s="41" t="s">
        <v>169</v>
      </c>
      <c r="K10" s="41" t="s">
        <v>170</v>
      </c>
    </row>
    <row r="11" spans="2:13">
      <c r="B11" s="40" t="s">
        <v>171</v>
      </c>
      <c r="C11" s="40" t="s">
        <v>141</v>
      </c>
      <c r="D11" s="41" t="s">
        <v>172</v>
      </c>
      <c r="E11" s="41" t="s">
        <v>173</v>
      </c>
      <c r="F11" s="41" t="s">
        <v>174</v>
      </c>
      <c r="G11" s="41" t="s">
        <v>175</v>
      </c>
      <c r="H11" s="41" t="s">
        <v>176</v>
      </c>
      <c r="I11" s="41" t="s">
        <v>177</v>
      </c>
      <c r="J11" s="41" t="s">
        <v>178</v>
      </c>
      <c r="K11" s="41" t="s">
        <v>179</v>
      </c>
    </row>
    <row r="12" spans="2:13">
      <c r="B12" s="40" t="s">
        <v>180</v>
      </c>
      <c r="C12" s="40" t="s">
        <v>141</v>
      </c>
      <c r="D12" s="41" t="s">
        <v>181</v>
      </c>
      <c r="E12" s="41" t="s">
        <v>182</v>
      </c>
      <c r="F12" s="41" t="s">
        <v>183</v>
      </c>
      <c r="G12" s="41" t="s">
        <v>184</v>
      </c>
      <c r="H12" s="41" t="s">
        <v>185</v>
      </c>
      <c r="I12" s="41" t="s">
        <v>186</v>
      </c>
      <c r="J12" s="41" t="s">
        <v>187</v>
      </c>
      <c r="K12" s="41" t="s">
        <v>188</v>
      </c>
    </row>
    <row r="13" spans="2:13">
      <c r="B13" s="40" t="s">
        <v>189</v>
      </c>
      <c r="C13" s="40" t="s">
        <v>141</v>
      </c>
      <c r="D13" s="41" t="s">
        <v>190</v>
      </c>
      <c r="E13" s="41" t="s">
        <v>191</v>
      </c>
      <c r="F13" s="41" t="s">
        <v>192</v>
      </c>
      <c r="G13" s="41" t="s">
        <v>193</v>
      </c>
      <c r="H13" s="41" t="s">
        <v>194</v>
      </c>
      <c r="I13" s="41" t="s">
        <v>193</v>
      </c>
      <c r="J13" s="41" t="s">
        <v>195</v>
      </c>
      <c r="K13" s="41" t="s">
        <v>196</v>
      </c>
    </row>
    <row r="14" spans="2:13">
      <c r="B14" s="40" t="s">
        <v>197</v>
      </c>
      <c r="C14" s="40" t="s">
        <v>141</v>
      </c>
      <c r="D14" s="41" t="s">
        <v>198</v>
      </c>
      <c r="E14" s="41" t="s">
        <v>199</v>
      </c>
      <c r="F14" s="41" t="s">
        <v>200</v>
      </c>
      <c r="G14" s="41" t="s">
        <v>201</v>
      </c>
      <c r="H14" s="41" t="s">
        <v>200</v>
      </c>
      <c r="I14" s="41" t="s">
        <v>202</v>
      </c>
      <c r="J14" s="41" t="s">
        <v>203</v>
      </c>
      <c r="K14" s="41" t="s">
        <v>204</v>
      </c>
    </row>
    <row r="15" spans="2:13">
      <c r="B15" s="40" t="s">
        <v>205</v>
      </c>
      <c r="C15" s="40" t="s">
        <v>141</v>
      </c>
      <c r="D15" s="41" t="s">
        <v>206</v>
      </c>
      <c r="E15" s="41" t="s">
        <v>194</v>
      </c>
      <c r="F15" s="41" t="s">
        <v>194</v>
      </c>
      <c r="G15" s="41" t="s">
        <v>193</v>
      </c>
      <c r="H15" s="41" t="s">
        <v>195</v>
      </c>
      <c r="I15" s="41" t="s">
        <v>196</v>
      </c>
      <c r="J15" s="41" t="s">
        <v>192</v>
      </c>
      <c r="K15" s="41" t="s">
        <v>192</v>
      </c>
    </row>
    <row r="16" spans="2:13">
      <c r="B16" s="40" t="s">
        <v>207</v>
      </c>
      <c r="C16" s="40" t="s">
        <v>141</v>
      </c>
      <c r="D16" s="41" t="s">
        <v>142</v>
      </c>
      <c r="E16" s="41" t="s">
        <v>142</v>
      </c>
      <c r="F16" s="41" t="s">
        <v>142</v>
      </c>
      <c r="G16" s="41" t="s">
        <v>142</v>
      </c>
      <c r="H16" s="41" t="s">
        <v>142</v>
      </c>
      <c r="I16" s="41" t="s">
        <v>142</v>
      </c>
      <c r="J16" s="41" t="s">
        <v>142</v>
      </c>
      <c r="K16" s="41" t="s">
        <v>142</v>
      </c>
    </row>
    <row r="17" spans="2:11">
      <c r="B17" s="40" t="s">
        <v>208</v>
      </c>
      <c r="C17" s="40" t="s">
        <v>141</v>
      </c>
      <c r="D17" s="41" t="s">
        <v>209</v>
      </c>
      <c r="E17" s="41" t="s">
        <v>210</v>
      </c>
      <c r="F17" s="41" t="s">
        <v>211</v>
      </c>
      <c r="G17" s="41" t="s">
        <v>212</v>
      </c>
      <c r="H17" s="41" t="s">
        <v>213</v>
      </c>
      <c r="I17" s="41" t="s">
        <v>214</v>
      </c>
      <c r="J17" s="41" t="s">
        <v>213</v>
      </c>
      <c r="K17" s="41" t="s">
        <v>215</v>
      </c>
    </row>
    <row r="18" spans="2:11">
      <c r="B18" s="40" t="s">
        <v>216</v>
      </c>
      <c r="C18" s="40" t="s">
        <v>141</v>
      </c>
      <c r="D18" s="41" t="s">
        <v>217</v>
      </c>
      <c r="E18" s="41" t="s">
        <v>218</v>
      </c>
      <c r="F18" s="41" t="s">
        <v>219</v>
      </c>
      <c r="G18" s="41" t="s">
        <v>220</v>
      </c>
      <c r="H18" s="41" t="s">
        <v>221</v>
      </c>
      <c r="I18" s="41" t="s">
        <v>222</v>
      </c>
      <c r="J18" s="41" t="s">
        <v>223</v>
      </c>
      <c r="K18" s="41" t="s">
        <v>224</v>
      </c>
    </row>
    <row r="19" spans="2:11">
      <c r="B19" s="40" t="s">
        <v>225</v>
      </c>
      <c r="C19" s="40" t="s">
        <v>141</v>
      </c>
      <c r="D19" s="41" t="s">
        <v>226</v>
      </c>
      <c r="E19" s="41" t="s">
        <v>226</v>
      </c>
      <c r="F19" s="41" t="s">
        <v>226</v>
      </c>
      <c r="G19" s="41" t="s">
        <v>226</v>
      </c>
      <c r="H19" s="41" t="s">
        <v>226</v>
      </c>
      <c r="I19" s="41" t="s">
        <v>226</v>
      </c>
      <c r="J19" s="41" t="s">
        <v>226</v>
      </c>
      <c r="K19" s="41" t="s">
        <v>226</v>
      </c>
    </row>
    <row r="20" spans="2:11">
      <c r="B20" s="40" t="s">
        <v>227</v>
      </c>
      <c r="C20" s="40" t="s">
        <v>141</v>
      </c>
      <c r="D20" s="41" t="s">
        <v>226</v>
      </c>
      <c r="E20" s="41" t="s">
        <v>226</v>
      </c>
      <c r="F20" s="41" t="s">
        <v>226</v>
      </c>
      <c r="G20" s="41" t="s">
        <v>226</v>
      </c>
      <c r="H20" s="41" t="s">
        <v>226</v>
      </c>
      <c r="I20" s="41" t="s">
        <v>226</v>
      </c>
      <c r="J20" s="41" t="s">
        <v>226</v>
      </c>
      <c r="K20" s="41" t="s">
        <v>226</v>
      </c>
    </row>
    <row r="21" spans="2:11">
      <c r="B21" s="40" t="s">
        <v>228</v>
      </c>
      <c r="C21" s="40" t="s">
        <v>141</v>
      </c>
      <c r="D21" s="41" t="s">
        <v>142</v>
      </c>
      <c r="E21" s="41" t="s">
        <v>142</v>
      </c>
      <c r="F21" s="41" t="s">
        <v>142</v>
      </c>
      <c r="G21" s="41" t="s">
        <v>142</v>
      </c>
      <c r="H21" s="41" t="s">
        <v>142</v>
      </c>
      <c r="I21" s="41" t="s">
        <v>142</v>
      </c>
      <c r="J21" s="41" t="s">
        <v>142</v>
      </c>
      <c r="K21" s="41" t="s">
        <v>142</v>
      </c>
    </row>
    <row r="23" spans="2:11" ht="17.25">
      <c r="B23" s="59" t="s">
        <v>241</v>
      </c>
      <c r="C23" s="59"/>
      <c r="D23" s="59"/>
      <c r="E23" s="59"/>
      <c r="F23" s="50"/>
      <c r="G23" s="43"/>
      <c r="H23" s="43"/>
      <c r="I23" s="43"/>
      <c r="J23" s="43"/>
      <c r="K23" s="43"/>
    </row>
    <row r="24" spans="2:11">
      <c r="B24" s="48" t="s">
        <v>229</v>
      </c>
      <c r="C24" s="48" t="s">
        <v>244</v>
      </c>
      <c r="D24" s="48" t="s">
        <v>230</v>
      </c>
      <c r="E24" s="49" t="s">
        <v>245</v>
      </c>
    </row>
    <row r="25" spans="2:11">
      <c r="B25" s="44" t="s">
        <v>231</v>
      </c>
      <c r="C25" s="47">
        <v>222.8495863</v>
      </c>
      <c r="D25" s="45">
        <v>0.1779</v>
      </c>
      <c r="E25" s="47">
        <f t="shared" ref="E25:E34" si="0">319*C25</f>
        <v>71089.018029700004</v>
      </c>
    </row>
    <row r="26" spans="2:11">
      <c r="B26" s="44" t="s">
        <v>232</v>
      </c>
      <c r="C26" s="47">
        <v>196.57973699999999</v>
      </c>
      <c r="D26" s="45">
        <v>0.15689999999999998</v>
      </c>
      <c r="E26" s="47">
        <f t="shared" si="0"/>
        <v>62708.936103</v>
      </c>
    </row>
    <row r="27" spans="2:11">
      <c r="B27" s="44" t="s">
        <v>233</v>
      </c>
      <c r="C27" s="47">
        <v>97.453142700000001</v>
      </c>
      <c r="D27" s="45">
        <v>7.7800000000000008E-2</v>
      </c>
      <c r="E27" s="47">
        <f t="shared" si="0"/>
        <v>31087.5525213</v>
      </c>
    </row>
    <row r="28" spans="2:11">
      <c r="B28" s="44" t="s">
        <v>234</v>
      </c>
      <c r="C28" s="47">
        <v>48.631194000000001</v>
      </c>
      <c r="D28" s="45">
        <v>3.8800000000000001E-2</v>
      </c>
      <c r="E28" s="47">
        <f t="shared" si="0"/>
        <v>15513.350886</v>
      </c>
    </row>
    <row r="29" spans="2:11">
      <c r="B29" s="44" t="s">
        <v>235</v>
      </c>
      <c r="C29" s="47">
        <v>41.195288699999999</v>
      </c>
      <c r="D29" s="45">
        <v>3.2899999999999999E-2</v>
      </c>
      <c r="E29" s="47">
        <f t="shared" si="0"/>
        <v>13141.2970953</v>
      </c>
    </row>
    <row r="30" spans="2:11">
      <c r="B30" s="44" t="s">
        <v>236</v>
      </c>
      <c r="C30" s="47">
        <v>38.825180199999998</v>
      </c>
      <c r="D30" s="45">
        <v>3.1E-2</v>
      </c>
      <c r="E30" s="47">
        <f t="shared" si="0"/>
        <v>12385.232483799999</v>
      </c>
    </row>
    <row r="31" spans="2:11">
      <c r="B31" s="44" t="s">
        <v>237</v>
      </c>
      <c r="C31" s="47">
        <v>31.2813783</v>
      </c>
      <c r="D31" s="45">
        <v>2.5000000000000001E-2</v>
      </c>
      <c r="E31" s="47">
        <f t="shared" si="0"/>
        <v>9978.7596776999999</v>
      </c>
    </row>
    <row r="32" spans="2:11">
      <c r="B32" s="44" t="s">
        <v>238</v>
      </c>
      <c r="C32" s="47">
        <v>22.380053</v>
      </c>
      <c r="D32" s="45">
        <v>1.7899999999999999E-2</v>
      </c>
      <c r="E32" s="47">
        <f t="shared" si="0"/>
        <v>7139.2369070000004</v>
      </c>
    </row>
    <row r="33" spans="2:11">
      <c r="B33" s="44" t="s">
        <v>239</v>
      </c>
      <c r="C33" s="47">
        <v>21.708550800000001</v>
      </c>
      <c r="D33" s="45">
        <v>1.7299999999999999E-2</v>
      </c>
      <c r="E33" s="47">
        <f t="shared" si="0"/>
        <v>6925.0277052000001</v>
      </c>
    </row>
    <row r="34" spans="2:11">
      <c r="B34" s="44" t="s">
        <v>240</v>
      </c>
      <c r="C34" s="47">
        <v>20.230529600000001</v>
      </c>
      <c r="D34" s="45">
        <v>1.6200000000000003E-2</v>
      </c>
      <c r="E34" s="47">
        <f t="shared" si="0"/>
        <v>6453.5389424000005</v>
      </c>
    </row>
    <row r="35" spans="2:11">
      <c r="D35" s="46"/>
    </row>
    <row r="36" spans="2:11">
      <c r="C36" s="54">
        <v>45992</v>
      </c>
      <c r="D36" s="54"/>
      <c r="E36" s="54"/>
      <c r="F36" s="54"/>
      <c r="G36" s="54"/>
      <c r="H36" s="54"/>
      <c r="I36" s="54"/>
      <c r="J36" s="54"/>
      <c r="K36" s="54"/>
    </row>
    <row r="37" spans="2:11">
      <c r="B37" s="30" t="s">
        <v>162</v>
      </c>
      <c r="C37" s="30">
        <v>0.36109999999999998</v>
      </c>
    </row>
    <row r="38" spans="2:11">
      <c r="B38" s="30" t="s">
        <v>246</v>
      </c>
      <c r="C38" s="30">
        <v>0.48899999999999999</v>
      </c>
    </row>
    <row r="39" spans="2:11">
      <c r="B39" s="30" t="s">
        <v>247</v>
      </c>
      <c r="C39" s="30">
        <v>0.14949999999999999</v>
      </c>
    </row>
  </sheetData>
  <mergeCells count="2">
    <mergeCell ref="B23:E23"/>
    <mergeCell ref="B2:K2"/>
  </mergeCells>
  <pageMargins left="0.7" right="0.7" top="0.75" bottom="0.75" header="0.3" footer="0.3"/>
  <pageSetup orientation="portrait" r:id="rId1"/>
  <ignoredErrors>
    <ignoredError sqref="B1:K21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40"/>
  <sheetViews>
    <sheetView zoomScale="120" zoomScaleNormal="120" zoomScaleSheetLayoutView="100" zoomScalePageLayoutView="120" workbookViewId="0">
      <pane xSplit="1" ySplit="4" topLeftCell="B23" activePane="bottomRight" state="frozen"/>
      <selection activeCell="I2" sqref="I2"/>
      <selection pane="topRight" activeCell="I2" sqref="I2"/>
      <selection pane="bottomLeft" activeCell="I2" sqref="I2"/>
      <selection pane="bottomRight" activeCell="A41" sqref="A41"/>
    </sheetView>
  </sheetViews>
  <sheetFormatPr defaultColWidth="8.85546875" defaultRowHeight="1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>
      <c r="A1" s="2" t="str">
        <f>'Data Sheet'!B1</f>
        <v>ITC LTD</v>
      </c>
      <c r="H1" t="str">
        <f>UPDATE</f>
        <v/>
      </c>
      <c r="J1" s="3"/>
      <c r="K1" s="3"/>
      <c r="M1" s="2" t="s">
        <v>1</v>
      </c>
    </row>
    <row r="3" spans="1:14" s="2" customFormat="1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>
      <c r="A4" s="2" t="s">
        <v>6</v>
      </c>
      <c r="B4" s="1">
        <f>'Data Sheet'!B17</f>
        <v>39192.1</v>
      </c>
      <c r="C4" s="1">
        <f>'Data Sheet'!C17</f>
        <v>42767.6</v>
      </c>
      <c r="D4" s="1">
        <f>'Data Sheet'!D17</f>
        <v>43448.94</v>
      </c>
      <c r="E4" s="1">
        <f>'Data Sheet'!E17</f>
        <v>48339.58</v>
      </c>
      <c r="F4" s="1">
        <f>'Data Sheet'!F17</f>
        <v>49387.7</v>
      </c>
      <c r="G4" s="1">
        <f>'Data Sheet'!G17</f>
        <v>49257.45</v>
      </c>
      <c r="H4" s="1">
        <f>'Data Sheet'!H17</f>
        <v>60644.54</v>
      </c>
      <c r="I4" s="1">
        <f>'Data Sheet'!I17</f>
        <v>70919.03</v>
      </c>
      <c r="J4" s="1">
        <f>'Data Sheet'!J17</f>
        <v>67931.94</v>
      </c>
      <c r="K4" s="1">
        <f>'Data Sheet'!K17</f>
        <v>75323.34</v>
      </c>
      <c r="L4" s="1">
        <f>SUM(Quarters!H4:K4)</f>
        <v>79808.72</v>
      </c>
      <c r="M4" s="1">
        <f>$K4+M23*K4</f>
        <v>83518.968378580088</v>
      </c>
      <c r="N4" s="1">
        <f>$K4+N23*L4</f>
        <v>81303.230401530862</v>
      </c>
    </row>
    <row r="5" spans="1:14">
      <c r="A5" t="s">
        <v>7</v>
      </c>
      <c r="B5" s="6">
        <f>SUM('Data Sheet'!B18,'Data Sheet'!B20:B24, -1*'Data Sheet'!B19)</f>
        <v>24660.609999999997</v>
      </c>
      <c r="C5" s="6">
        <f>SUM('Data Sheet'!C18,'Data Sheet'!C20:C24, -1*'Data Sheet'!C19)</f>
        <v>27298.09</v>
      </c>
      <c r="D5" s="6">
        <f>SUM('Data Sheet'!D18,'Data Sheet'!D20:D24, -1*'Data Sheet'!D19)</f>
        <v>26928.35</v>
      </c>
      <c r="E5" s="6">
        <f>SUM('Data Sheet'!E18,'Data Sheet'!E20:E24, -1*'Data Sheet'!E19)</f>
        <v>29802.19</v>
      </c>
      <c r="F5" s="6">
        <f>SUM('Data Sheet'!F18,'Data Sheet'!F20:F24, -1*'Data Sheet'!F19)</f>
        <v>30044.16</v>
      </c>
      <c r="G5" s="6">
        <f>SUM('Data Sheet'!G18,'Data Sheet'!G20:G24, -1*'Data Sheet'!G19)</f>
        <v>32192.670000000002</v>
      </c>
      <c r="H5" s="6">
        <f>SUM('Data Sheet'!H18,'Data Sheet'!H20:H24, -1*'Data Sheet'!H19)</f>
        <v>40021.39</v>
      </c>
      <c r="I5" s="6">
        <f>SUM('Data Sheet'!I18,'Data Sheet'!I20:I24, -1*'Data Sheet'!I19)</f>
        <v>45214.770000000004</v>
      </c>
      <c r="J5" s="6">
        <f>SUM('Data Sheet'!J18,'Data Sheet'!J20:J24, -1*'Data Sheet'!J19)</f>
        <v>42744.41</v>
      </c>
      <c r="K5" s="6">
        <f>SUM('Data Sheet'!K18,'Data Sheet'!K20:K24, -1*'Data Sheet'!K19)</f>
        <v>49483.89</v>
      </c>
      <c r="L5" s="6">
        <f>SUM(Quarters!H5:K5)</f>
        <v>52895.65</v>
      </c>
      <c r="M5" s="6">
        <f t="shared" ref="M5:N5" si="0">M4-M6</f>
        <v>53597.013652967857</v>
      </c>
      <c r="N5" s="6">
        <f t="shared" si="0"/>
        <v>53886.182101263315</v>
      </c>
    </row>
    <row r="6" spans="1:14" s="2" customFormat="1">
      <c r="A6" s="2" t="s">
        <v>8</v>
      </c>
      <c r="B6" s="1">
        <f>B4-B5</f>
        <v>14531.490000000002</v>
      </c>
      <c r="C6" s="1">
        <f t="shared" ref="C6:K6" si="1">C4-C5</f>
        <v>15469.509999999998</v>
      </c>
      <c r="D6" s="1">
        <f t="shared" si="1"/>
        <v>16520.590000000004</v>
      </c>
      <c r="E6" s="1">
        <f t="shared" si="1"/>
        <v>18537.390000000003</v>
      </c>
      <c r="F6" s="1">
        <f t="shared" si="1"/>
        <v>19343.539999999997</v>
      </c>
      <c r="G6" s="1">
        <f t="shared" si="1"/>
        <v>17064.779999999995</v>
      </c>
      <c r="H6" s="1">
        <f t="shared" si="1"/>
        <v>20623.150000000001</v>
      </c>
      <c r="I6" s="1">
        <f t="shared" si="1"/>
        <v>25704.259999999995</v>
      </c>
      <c r="J6" s="1">
        <f t="shared" si="1"/>
        <v>25187.53</v>
      </c>
      <c r="K6" s="1">
        <f t="shared" si="1"/>
        <v>25839.449999999997</v>
      </c>
      <c r="L6" s="1">
        <f>SUM(Quarters!H6:K6)</f>
        <v>26913.07</v>
      </c>
      <c r="M6" s="1">
        <f>M4*M24</f>
        <v>29921.954725612231</v>
      </c>
      <c r="N6" s="1">
        <f>N4*N24</f>
        <v>27417.048300267543</v>
      </c>
    </row>
    <row r="7" spans="1:14">
      <c r="A7" t="s">
        <v>9</v>
      </c>
      <c r="B7" s="6">
        <f>'Data Sheet'!B25</f>
        <v>1483.11</v>
      </c>
      <c r="C7" s="6">
        <f>'Data Sheet'!C25</f>
        <v>1758.63</v>
      </c>
      <c r="D7" s="6">
        <f>'Data Sheet'!D25</f>
        <v>2239.81</v>
      </c>
      <c r="E7" s="6">
        <f>'Data Sheet'!E25</f>
        <v>2080.44</v>
      </c>
      <c r="F7" s="6">
        <f>'Data Sheet'!F25</f>
        <v>2417.3200000000002</v>
      </c>
      <c r="G7" s="6">
        <f>'Data Sheet'!G25</f>
        <v>2576.9499999999998</v>
      </c>
      <c r="H7" s="6">
        <f>'Data Sheet'!H25</f>
        <v>1909.72</v>
      </c>
      <c r="I7" s="6">
        <f>'Data Sheet'!I25</f>
        <v>2097.64</v>
      </c>
      <c r="J7" s="6">
        <f>'Data Sheet'!J25</f>
        <v>3330.45</v>
      </c>
      <c r="K7" s="6">
        <f>'Data Sheet'!K25</f>
        <v>17794.88</v>
      </c>
      <c r="L7" s="6">
        <f>SUM(Quarters!H7:K7)</f>
        <v>17202.939999999999</v>
      </c>
      <c r="M7" s="6">
        <v>0</v>
      </c>
      <c r="N7" s="6">
        <v>0</v>
      </c>
    </row>
    <row r="8" spans="1:14">
      <c r="A8" t="s">
        <v>10</v>
      </c>
      <c r="B8" s="6">
        <f>'Data Sheet'!B26</f>
        <v>1077.4000000000001</v>
      </c>
      <c r="C8" s="6">
        <f>'Data Sheet'!C26</f>
        <v>1152.79</v>
      </c>
      <c r="D8" s="6">
        <f>'Data Sheet'!D26</f>
        <v>1236.28</v>
      </c>
      <c r="E8" s="6">
        <f>'Data Sheet'!E26</f>
        <v>1396.61</v>
      </c>
      <c r="F8" s="6">
        <f>'Data Sheet'!F26</f>
        <v>1644.91</v>
      </c>
      <c r="G8" s="6">
        <f>'Data Sheet'!G26</f>
        <v>1645.59</v>
      </c>
      <c r="H8" s="6">
        <f>'Data Sheet'!H26</f>
        <v>1732.41</v>
      </c>
      <c r="I8" s="6">
        <f>'Data Sheet'!I26</f>
        <v>1809.01</v>
      </c>
      <c r="J8" s="6">
        <f>'Data Sheet'!J26</f>
        <v>1518.05</v>
      </c>
      <c r="K8" s="6">
        <f>'Data Sheet'!K26</f>
        <v>1646.32</v>
      </c>
      <c r="L8" s="6">
        <f>SUM(Quarters!H8:K8)</f>
        <v>1699.61</v>
      </c>
      <c r="M8" s="6">
        <f>+$L8</f>
        <v>1699.61</v>
      </c>
      <c r="N8" s="6">
        <f>+$L8</f>
        <v>1699.61</v>
      </c>
    </row>
    <row r="9" spans="1:14">
      <c r="A9" t="s">
        <v>11</v>
      </c>
      <c r="B9" s="6">
        <f>'Data Sheet'!B27</f>
        <v>78.13</v>
      </c>
      <c r="C9" s="6">
        <f>'Data Sheet'!C27</f>
        <v>49.03</v>
      </c>
      <c r="D9" s="6">
        <f>'Data Sheet'!D27</f>
        <v>115.01</v>
      </c>
      <c r="E9" s="6">
        <f>'Data Sheet'!E27</f>
        <v>71.400000000000006</v>
      </c>
      <c r="F9" s="6">
        <f>'Data Sheet'!F27</f>
        <v>81.38</v>
      </c>
      <c r="G9" s="6">
        <f>'Data Sheet'!G27</f>
        <v>57.97</v>
      </c>
      <c r="H9" s="6">
        <f>'Data Sheet'!H27</f>
        <v>59.99</v>
      </c>
      <c r="I9" s="6">
        <f>'Data Sheet'!I27</f>
        <v>77.77</v>
      </c>
      <c r="J9" s="6">
        <f>'Data Sheet'!J27</f>
        <v>39.11</v>
      </c>
      <c r="K9" s="6">
        <f>'Data Sheet'!K27</f>
        <v>45.06</v>
      </c>
      <c r="L9" s="6">
        <f>SUM(Quarters!H9:K9)</f>
        <v>66.900000000000006</v>
      </c>
      <c r="M9" s="6">
        <f>+$L9</f>
        <v>66.900000000000006</v>
      </c>
      <c r="N9" s="6">
        <f>+$L9</f>
        <v>66.900000000000006</v>
      </c>
    </row>
    <row r="10" spans="1:14">
      <c r="A10" t="s">
        <v>12</v>
      </c>
      <c r="B10" s="6">
        <f>'Data Sheet'!B28</f>
        <v>14859.07</v>
      </c>
      <c r="C10" s="6">
        <f>'Data Sheet'!C28</f>
        <v>16026.32</v>
      </c>
      <c r="D10" s="6">
        <f>'Data Sheet'!D28</f>
        <v>17409.11</v>
      </c>
      <c r="E10" s="6">
        <f>'Data Sheet'!E28</f>
        <v>19149.82</v>
      </c>
      <c r="F10" s="6">
        <f>'Data Sheet'!F28</f>
        <v>20034.57</v>
      </c>
      <c r="G10" s="6">
        <f>'Data Sheet'!G28</f>
        <v>17938.169999999998</v>
      </c>
      <c r="H10" s="6">
        <f>'Data Sheet'!H28</f>
        <v>20740.47</v>
      </c>
      <c r="I10" s="6">
        <f>'Data Sheet'!I28</f>
        <v>25915.119999999999</v>
      </c>
      <c r="J10" s="6">
        <f>'Data Sheet'!J28</f>
        <v>26960.82</v>
      </c>
      <c r="K10" s="6">
        <f>'Data Sheet'!K28</f>
        <v>41942.949999999997</v>
      </c>
      <c r="L10" s="6">
        <f>SUM(Quarters!H10:K10)</f>
        <v>42349.5</v>
      </c>
      <c r="M10" s="6">
        <f>M6+M7-SUM(M8:M9)</f>
        <v>28155.444725612233</v>
      </c>
      <c r="N10" s="6">
        <f>N6+N7-SUM(N8:N9)</f>
        <v>25650.538300267544</v>
      </c>
    </row>
    <row r="11" spans="1:14">
      <c r="A11" t="s">
        <v>13</v>
      </c>
      <c r="B11" s="6">
        <f>'Data Sheet'!B29</f>
        <v>5358.21</v>
      </c>
      <c r="C11" s="6">
        <f>'Data Sheet'!C29</f>
        <v>5549.09</v>
      </c>
      <c r="D11" s="6">
        <f>'Data Sheet'!D29</f>
        <v>5916.43</v>
      </c>
      <c r="E11" s="6">
        <f>'Data Sheet'!E29</f>
        <v>6313.92</v>
      </c>
      <c r="F11" s="6">
        <f>'Data Sheet'!F29</f>
        <v>4441.79</v>
      </c>
      <c r="G11" s="6">
        <f>'Data Sheet'!G29</f>
        <v>4555.29</v>
      </c>
      <c r="H11" s="6">
        <f>'Data Sheet'!H29</f>
        <v>5237.34</v>
      </c>
      <c r="I11" s="6">
        <f>'Data Sheet'!I29</f>
        <v>6438.4</v>
      </c>
      <c r="J11" s="6">
        <f>'Data Sheet'!J29</f>
        <v>6209.46</v>
      </c>
      <c r="K11" s="6">
        <f>'Data Sheet'!K29</f>
        <v>6890.47</v>
      </c>
      <c r="L11" s="6">
        <f>SUM(Quarters!H11:K11)</f>
        <v>6993.21</v>
      </c>
      <c r="M11" s="7">
        <f>IF($L10&gt;0,$L11/$L10,0)</f>
        <v>0.16513087521694472</v>
      </c>
      <c r="N11" s="7">
        <f>IF($L10&gt;0,$L11/$L10,0)</f>
        <v>0.16513087521694472</v>
      </c>
    </row>
    <row r="12" spans="1:14" s="2" customFormat="1">
      <c r="A12" s="2" t="s">
        <v>14</v>
      </c>
      <c r="B12" s="1">
        <f>'Data Sheet'!B30</f>
        <v>9344.4500000000007</v>
      </c>
      <c r="C12" s="1">
        <f>'Data Sheet'!C30</f>
        <v>10289.44</v>
      </c>
      <c r="D12" s="1">
        <f>'Data Sheet'!D30</f>
        <v>11271.2</v>
      </c>
      <c r="E12" s="1">
        <f>'Data Sheet'!E30</f>
        <v>12592.33</v>
      </c>
      <c r="F12" s="1">
        <f>'Data Sheet'!F30</f>
        <v>15306.23</v>
      </c>
      <c r="G12" s="1">
        <f>'Data Sheet'!G30</f>
        <v>13161.19</v>
      </c>
      <c r="H12" s="1">
        <f>'Data Sheet'!H30</f>
        <v>15242.66</v>
      </c>
      <c r="I12" s="1">
        <f>'Data Sheet'!I30</f>
        <v>19191.66</v>
      </c>
      <c r="J12" s="1">
        <f>'Data Sheet'!J30</f>
        <v>20458.78</v>
      </c>
      <c r="K12" s="1">
        <f>'Data Sheet'!K30</f>
        <v>34746.629999999997</v>
      </c>
      <c r="L12" s="1">
        <f>SUM(Quarters!H12:K12)</f>
        <v>35028.870000000003</v>
      </c>
      <c r="M12" s="1">
        <f>M10-M11*M10</f>
        <v>23506.111495949575</v>
      </c>
      <c r="N12" s="1">
        <f>N10-N11*N10</f>
        <v>21414.842460958604</v>
      </c>
    </row>
    <row r="13" spans="1:14">
      <c r="A13" t="s">
        <v>57</v>
      </c>
      <c r="B13" s="6">
        <f>IF('Data Sheet'!B93&gt;0,B12/'Data Sheet'!B93,0)</f>
        <v>7.7413675978394147</v>
      </c>
      <c r="C13" s="6">
        <f>IF('Data Sheet'!C93&gt;0,C12/'Data Sheet'!C93,0)</f>
        <v>8.4704875117309051</v>
      </c>
      <c r="D13" s="6">
        <f>IF('Data Sheet'!D93&gt;0,D12/'Data Sheet'!D93,0)</f>
        <v>9.2354334128135172</v>
      </c>
      <c r="E13" s="6">
        <f>IF('Data Sheet'!E93&gt;0,E12/'Data Sheet'!E93,0)</f>
        <v>10.272241528396393</v>
      </c>
      <c r="F13" s="6">
        <f>IF('Data Sheet'!F93&gt;0,F12/'Data Sheet'!F93,0)</f>
        <v>12.451985812141032</v>
      </c>
      <c r="G13" s="6">
        <f>IF('Data Sheet'!G93&gt;0,G12/'Data Sheet'!G93,0)</f>
        <v>10.692504549590536</v>
      </c>
      <c r="H13" s="6">
        <f>IF('Data Sheet'!H93&gt;0,H12/'Data Sheet'!H93,0)</f>
        <v>12.368975842509718</v>
      </c>
      <c r="I13" s="6">
        <f>IF('Data Sheet'!I93&gt;0,I12/'Data Sheet'!I93,0)</f>
        <v>15.442275506919859</v>
      </c>
      <c r="J13" s="6">
        <f>IF('Data Sheet'!J93&gt;0,J12/'Data Sheet'!J93,0)</f>
        <v>16.387081788108645</v>
      </c>
      <c r="K13" s="6">
        <f>IF('Data Sheet'!K93&gt;0,K12/'Data Sheet'!K93,0)</f>
        <v>27.765983970081745</v>
      </c>
      <c r="L13" s="6">
        <f>IF('Data Sheet'!$B6&gt;0,'Profit &amp; Loss'!L12/'Data Sheet'!$B6,0)</f>
        <v>27.957721327819755</v>
      </c>
      <c r="M13" s="6">
        <f>IF('Data Sheet'!$B6&gt;0,'Profit &amp; Loss'!M12/'Data Sheet'!$B6,0)</f>
        <v>18.761019544861668</v>
      </c>
      <c r="N13" s="6">
        <f>IF('Data Sheet'!$B6&gt;0,'Profit &amp; Loss'!N12/'Data Sheet'!$B6,0)</f>
        <v>17.091907269707598</v>
      </c>
    </row>
    <row r="14" spans="1:14">
      <c r="A14" t="s">
        <v>16</v>
      </c>
      <c r="B14" s="6">
        <f>IF(B15&gt;0,B15/B13,"")</f>
        <v>26.49790200600356</v>
      </c>
      <c r="C14" s="6">
        <f t="shared" ref="C14:K14" si="2">IF(C15&gt;0,C15/C13,"")</f>
        <v>31.019466073955435</v>
      </c>
      <c r="D14" s="6">
        <f t="shared" si="2"/>
        <v>25.932729877918941</v>
      </c>
      <c r="E14" s="6">
        <f t="shared" si="2"/>
        <v>27.125530414148926</v>
      </c>
      <c r="F14" s="6">
        <f t="shared" si="2"/>
        <v>12.925649163771876</v>
      </c>
      <c r="G14" s="6">
        <f t="shared" si="2"/>
        <v>19.155474664525016</v>
      </c>
      <c r="H14" s="6">
        <f t="shared" si="2"/>
        <v>18.995913889045614</v>
      </c>
      <c r="I14" s="6">
        <f t="shared" si="2"/>
        <v>23.279600201337455</v>
      </c>
      <c r="J14" s="6">
        <f t="shared" si="2"/>
        <v>24.502837368601647</v>
      </c>
      <c r="K14" s="6">
        <f t="shared" si="2"/>
        <v>14.757265596692401</v>
      </c>
      <c r="L14" s="6">
        <f t="shared" ref="L14" si="3">IF(L13&gt;0,L15/L13,0)</f>
        <v>11.639002913882175</v>
      </c>
      <c r="M14" s="6">
        <f>M25</f>
        <v>18.544676520128419</v>
      </c>
      <c r="N14" s="6">
        <f>N25</f>
        <v>11.639002913882175</v>
      </c>
    </row>
    <row r="15" spans="1:14" s="2" customFormat="1">
      <c r="A15" s="2" t="s">
        <v>58</v>
      </c>
      <c r="B15" s="1">
        <f>'Data Sheet'!B90</f>
        <v>205.13</v>
      </c>
      <c r="C15" s="1">
        <f>'Data Sheet'!C90</f>
        <v>262.75</v>
      </c>
      <c r="D15" s="1">
        <f>'Data Sheet'!D90</f>
        <v>239.5</v>
      </c>
      <c r="E15" s="1">
        <f>'Data Sheet'!E90</f>
        <v>278.64</v>
      </c>
      <c r="F15" s="1">
        <f>'Data Sheet'!F90</f>
        <v>160.94999999999999</v>
      </c>
      <c r="G15" s="1">
        <f>'Data Sheet'!G90</f>
        <v>204.82</v>
      </c>
      <c r="H15" s="1">
        <f>'Data Sheet'!H90</f>
        <v>234.96</v>
      </c>
      <c r="I15" s="1">
        <f>'Data Sheet'!I90</f>
        <v>359.49</v>
      </c>
      <c r="J15" s="1">
        <f>'Data Sheet'!J90</f>
        <v>401.53</v>
      </c>
      <c r="K15" s="1">
        <f>'Data Sheet'!K90</f>
        <v>409.75</v>
      </c>
      <c r="L15" s="1">
        <f>'Data Sheet'!B8</f>
        <v>325.39999999999998</v>
      </c>
      <c r="M15" s="8">
        <f>M13*M14</f>
        <v>347.91703864726657</v>
      </c>
      <c r="N15" s="9">
        <f>N13*N14</f>
        <v>198.93275851593066</v>
      </c>
    </row>
    <row r="17" spans="1:14" s="2" customFormat="1">
      <c r="A17" s="2" t="s">
        <v>15</v>
      </c>
    </row>
    <row r="18" spans="1:14">
      <c r="A18" t="s">
        <v>17</v>
      </c>
      <c r="B18" s="5">
        <f>IF('Data Sheet'!B30&gt;0, 'Data Sheet'!B31/'Data Sheet'!B30, 0)</f>
        <v>0.73199813793214152</v>
      </c>
      <c r="C18" s="5">
        <f>IF('Data Sheet'!C30&gt;0, 'Data Sheet'!C31/'Data Sheet'!C30, 0)</f>
        <v>0.56077104293333746</v>
      </c>
      <c r="D18" s="5">
        <f>IF('Data Sheet'!D30&gt;0, 'Data Sheet'!D31/'Data Sheet'!D30, 0)</f>
        <v>0.55763450209383203</v>
      </c>
      <c r="E18" s="5">
        <f>IF('Data Sheet'!E30&gt;0, 'Data Sheet'!E31/'Data Sheet'!E30, 0)</f>
        <v>0.55976137855345276</v>
      </c>
      <c r="F18" s="5">
        <f>IF('Data Sheet'!F30&gt;0, 'Data Sheet'!F31/'Data Sheet'!F30, 0)</f>
        <v>0.8151308323473514</v>
      </c>
      <c r="G18" s="5">
        <f>IF('Data Sheet'!G30&gt;0, 'Data Sheet'!G31/'Data Sheet'!G30, 0)</f>
        <v>1.0053771733407084</v>
      </c>
      <c r="H18" s="5">
        <f>IF('Data Sheet'!H30&gt;0, 'Data Sheet'!H31/'Data Sheet'!H30, 0)</f>
        <v>0.92974585800641096</v>
      </c>
      <c r="I18" s="5">
        <f>IF('Data Sheet'!I30&gt;0, 'Data Sheet'!I31/'Data Sheet'!I30, 0)</f>
        <v>1.0037380820627295</v>
      </c>
      <c r="J18" s="5">
        <f>IF('Data Sheet'!J30&gt;0, 'Data Sheet'!J31/'Data Sheet'!J30, 0)</f>
        <v>0.83907544829163816</v>
      </c>
      <c r="K18" s="5">
        <f>IF('Data Sheet'!K30&gt;0, 'Data Sheet'!K31/'Data Sheet'!K30, 0)</f>
        <v>0.51681932895362803</v>
      </c>
    </row>
    <row r="19" spans="1:14">
      <c r="A19" t="s">
        <v>18</v>
      </c>
      <c r="B19" s="5">
        <f t="shared" ref="B19:L19" si="4">IF(B6&gt;0,B6/B4,0)</f>
        <v>0.37077599822413199</v>
      </c>
      <c r="C19" s="5">
        <f t="shared" ref="C19:K19" si="5">IF(C6&gt;0,C6/C4,0)</f>
        <v>0.36171096811605047</v>
      </c>
      <c r="D19" s="5">
        <f t="shared" si="5"/>
        <v>0.38022998950031928</v>
      </c>
      <c r="E19" s="5">
        <f t="shared" si="5"/>
        <v>0.38348264507056129</v>
      </c>
      <c r="F19" s="5">
        <f t="shared" si="5"/>
        <v>0.39166715599228147</v>
      </c>
      <c r="G19" s="5">
        <f t="shared" si="5"/>
        <v>0.34644058919006154</v>
      </c>
      <c r="H19" s="5">
        <f t="shared" si="5"/>
        <v>0.3400660636555245</v>
      </c>
      <c r="I19" s="5">
        <f t="shared" si="5"/>
        <v>0.36244517162741785</v>
      </c>
      <c r="J19" s="5">
        <f t="shared" si="5"/>
        <v>0.37077595605248426</v>
      </c>
      <c r="K19" s="5">
        <f t="shared" si="5"/>
        <v>0.34304705553418102</v>
      </c>
      <c r="L19" s="5">
        <f t="shared" si="4"/>
        <v>0.33721966722433339</v>
      </c>
    </row>
    <row r="20" spans="1:14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>
      <c r="A23"/>
      <c r="B23"/>
      <c r="C23"/>
      <c r="D23"/>
      <c r="E23"/>
      <c r="F23"/>
      <c r="G23" t="s">
        <v>22</v>
      </c>
      <c r="H23" s="5">
        <f>IF(B4=0,"",POWER($K4/B4,1/9)-1)</f>
        <v>7.5290157386170398E-2</v>
      </c>
      <c r="I23" s="5">
        <f>IF(D4=0,"",POWER($K4/D4,1/7)-1)</f>
        <v>8.1772081914101014E-2</v>
      </c>
      <c r="J23" s="5">
        <f>IF(F4=0,"",POWER($K4/F4,1/5)-1)</f>
        <v>8.8083322106701667E-2</v>
      </c>
      <c r="K23" s="5">
        <f>IF(H4=0,"",POWER($K4/H4, 1/3)-1)</f>
        <v>7.4927782346726923E-2</v>
      </c>
      <c r="L23" s="5">
        <f>IF(ISERROR(MAX(IF(J4=0,"",(K4-J4)/J4),IF(K4=0,"",(L4-K4)/K4))),"",MAX(IF(J4=0,"",(K4-J4)/J4),IF(K4=0,"",(L4-K4)/K4)))</f>
        <v>0.10880596078957842</v>
      </c>
      <c r="M23" s="16">
        <f>MAX(K23:L23)</f>
        <v>0.10880596078957842</v>
      </c>
      <c r="N23" s="16">
        <f>MIN(H23:L23)</f>
        <v>7.4927782346726923E-2</v>
      </c>
    </row>
    <row r="24" spans="1:14">
      <c r="G24" t="s">
        <v>18</v>
      </c>
      <c r="H24" s="5">
        <f>IF(SUM(B4:$K$4)=0,"",SUMPRODUCT(B19:$K$19,B4:$K$4)/SUM(B4:$K$4))</f>
        <v>0.36333561776087531</v>
      </c>
      <c r="I24" s="5">
        <f>IF(SUM(E4:$K$4)=0,"",SUMPRODUCT(E19:$K$19,E4:$K$4)/SUM(E4:$K$4))</f>
        <v>0.361068770445239</v>
      </c>
      <c r="J24" s="5">
        <f>IF(SUM(G4:$K$4)=0,"",SUMPRODUCT(G19:$K$19,G4:$K$4)/SUM(G4:$K$4))</f>
        <v>0.35306244239396706</v>
      </c>
      <c r="K24" s="5">
        <f>IF(SUM(I4:$K$4)=0, "", SUMPRODUCT(I19:$K$19,I4:$K$4)/SUM(I4:$K$4))</f>
        <v>0.35826537739283482</v>
      </c>
      <c r="L24" s="5">
        <f>L19</f>
        <v>0.33721966722433339</v>
      </c>
      <c r="M24" s="16">
        <f>MAX(K24:L24)</f>
        <v>0.35826537739283482</v>
      </c>
      <c r="N24" s="16">
        <f>MIN(H24:L24)</f>
        <v>0.33721966722433339</v>
      </c>
    </row>
    <row r="25" spans="1:14">
      <c r="G25" t="s">
        <v>23</v>
      </c>
      <c r="H25" s="6">
        <f>IF(ISERROR(AVERAGEIF(B14:$L14,"&gt;0")),"",AVERAGEIF(B14:$L14,"&gt;0"))</f>
        <v>21.439215651807551</v>
      </c>
      <c r="I25" s="6">
        <f>IF(ISERROR(AVERAGEIF(E14:$L14,"&gt;0")),"",AVERAGEIF(E14:$L14,"&gt;0"))</f>
        <v>19.047659276500639</v>
      </c>
      <c r="J25" s="6">
        <f>IF(ISERROR(AVERAGEIF(G14:$L14,"&gt;0")),"",AVERAGEIF(G14:$L14,"&gt;0"))</f>
        <v>18.721682439014053</v>
      </c>
      <c r="K25" s="6">
        <f>IF(ISERROR(AVERAGEIF(I14:$L14,"&gt;0")),"",AVERAGEIF(I14:$L14,"&gt;0"))</f>
        <v>18.544676520128419</v>
      </c>
      <c r="L25" s="6">
        <f>L14</f>
        <v>11.639002913882175</v>
      </c>
      <c r="M25" s="1">
        <f>MAX(K25:L25)</f>
        <v>18.544676520128419</v>
      </c>
      <c r="N25" s="1">
        <f>MIN(H25:L25)</f>
        <v>11.639002913882175</v>
      </c>
    </row>
    <row r="27" spans="1:14">
      <c r="A27" t="s">
        <v>103</v>
      </c>
      <c r="B27" s="31">
        <f>(B6-B8)/B4</f>
        <v>0.34328576422289192</v>
      </c>
      <c r="C27" s="31">
        <f t="shared" ref="C27:K27" si="6">(C6-C8)/C4</f>
        <v>0.33475621732339428</v>
      </c>
      <c r="D27" s="31">
        <f t="shared" si="6"/>
        <v>0.35177636094229231</v>
      </c>
      <c r="E27" s="31">
        <f t="shared" si="6"/>
        <v>0.35459099975630737</v>
      </c>
      <c r="F27" s="31">
        <f t="shared" si="6"/>
        <v>0.35836108990700111</v>
      </c>
      <c r="G27" s="31">
        <f t="shared" si="6"/>
        <v>0.31303264785326884</v>
      </c>
      <c r="H27" s="31">
        <f t="shared" si="6"/>
        <v>0.3114994358931571</v>
      </c>
      <c r="I27" s="31">
        <f t="shared" si="6"/>
        <v>0.33693706752616326</v>
      </c>
      <c r="J27" s="31">
        <f t="shared" si="6"/>
        <v>0.34842932499793172</v>
      </c>
      <c r="K27" s="31">
        <f t="shared" si="6"/>
        <v>0.3211903508261848</v>
      </c>
    </row>
    <row r="28" spans="1:14">
      <c r="A28" t="s">
        <v>105</v>
      </c>
      <c r="B28" s="31">
        <f>B12/B4</f>
        <v>0.23842687684507849</v>
      </c>
      <c r="C28" s="31">
        <f t="shared" ref="C28:K28" si="7">C12/C4</f>
        <v>0.2405896052151629</v>
      </c>
      <c r="D28" s="31">
        <f t="shared" si="7"/>
        <v>0.25941254263049918</v>
      </c>
      <c r="E28" s="31">
        <f t="shared" si="7"/>
        <v>0.26049729848707825</v>
      </c>
      <c r="F28" s="31">
        <f t="shared" si="7"/>
        <v>0.30991987883622846</v>
      </c>
      <c r="G28" s="31">
        <f t="shared" si="7"/>
        <v>0.26719186640802561</v>
      </c>
      <c r="H28" s="31">
        <f t="shared" si="7"/>
        <v>0.25134430898478244</v>
      </c>
      <c r="I28" s="31">
        <f t="shared" si="7"/>
        <v>0.27061368436652333</v>
      </c>
      <c r="J28" s="31">
        <f t="shared" si="7"/>
        <v>0.30116584334261615</v>
      </c>
      <c r="K28" s="31">
        <f t="shared" si="7"/>
        <v>0.46129964497060272</v>
      </c>
    </row>
    <row r="29" spans="1:14">
      <c r="A29" t="s">
        <v>108</v>
      </c>
      <c r="C29" s="31">
        <f>C13/B13-1</f>
        <v>9.4184897523143629E-2</v>
      </c>
      <c r="D29" s="31">
        <f t="shared" ref="D29:K29" si="8">D13/C13-1</f>
        <v>9.030718716286712E-2</v>
      </c>
      <c r="E29" s="31">
        <f t="shared" si="8"/>
        <v>0.11226415363943576</v>
      </c>
      <c r="F29" s="31">
        <f t="shared" si="8"/>
        <v>0.21219753037533184</v>
      </c>
      <c r="G29" s="31">
        <f t="shared" si="8"/>
        <v>-0.14130125821657724</v>
      </c>
      <c r="H29" s="31">
        <f t="shared" si="8"/>
        <v>0.15678939252669122</v>
      </c>
      <c r="I29" s="31">
        <f t="shared" si="8"/>
        <v>0.24846840219768396</v>
      </c>
      <c r="J29" s="31">
        <f t="shared" si="8"/>
        <v>6.1183099651693551E-2</v>
      </c>
      <c r="K29" s="31">
        <f t="shared" si="8"/>
        <v>0.69438246108164581</v>
      </c>
    </row>
    <row r="30" spans="1:14">
      <c r="A30" t="s">
        <v>109</v>
      </c>
      <c r="B30" s="32">
        <f>B13*B18</f>
        <v>5.666666666666667</v>
      </c>
      <c r="C30" s="32">
        <f t="shared" ref="C30:K30" si="9">C13*C18</f>
        <v>4.7500041161071502</v>
      </c>
      <c r="D30" s="32">
        <f t="shared" si="9"/>
        <v>5.1499963127750057</v>
      </c>
      <c r="E30" s="32">
        <f t="shared" si="9"/>
        <v>5.7500040787691908</v>
      </c>
      <c r="F30" s="32">
        <f t="shared" si="9"/>
        <v>10.149997559427931</v>
      </c>
      <c r="G30" s="32">
        <f t="shared" si="9"/>
        <v>10.749999999999998</v>
      </c>
      <c r="H30" s="32">
        <f t="shared" si="9"/>
        <v>11.500004057354767</v>
      </c>
      <c r="I30" s="32">
        <f t="shared" si="9"/>
        <v>15.500000000000004</v>
      </c>
      <c r="J30" s="32">
        <f t="shared" si="9"/>
        <v>13.749997997549</v>
      </c>
      <c r="K30" s="32">
        <f t="shared" si="9"/>
        <v>14.349997203154841</v>
      </c>
    </row>
    <row r="31" spans="1:14">
      <c r="A31" t="s">
        <v>116</v>
      </c>
      <c r="C31" s="31">
        <f>C30/B30-1</f>
        <v>-0.16176397951050292</v>
      </c>
      <c r="D31" s="31">
        <f t="shared" ref="D31:K31" si="10">D30/C30-1</f>
        <v>8.4208810537972356E-2</v>
      </c>
      <c r="E31" s="31">
        <f t="shared" si="10"/>
        <v>0.11650644574362401</v>
      </c>
      <c r="F31" s="31">
        <f t="shared" si="10"/>
        <v>0.76521571469921024</v>
      </c>
      <c r="G31" s="31">
        <f t="shared" si="10"/>
        <v>5.9113555156941722E-2</v>
      </c>
      <c r="H31" s="31">
        <f t="shared" si="10"/>
        <v>6.9767819288815591E-2</v>
      </c>
      <c r="I31" s="31">
        <f t="shared" si="10"/>
        <v>0.34782561142550739</v>
      </c>
      <c r="J31" s="31">
        <f t="shared" si="10"/>
        <v>-0.1129033549968389</v>
      </c>
      <c r="K31" s="31">
        <f t="shared" si="10"/>
        <v>4.3636312217121276E-2</v>
      </c>
    </row>
    <row r="33" spans="1:11">
      <c r="A33" t="s">
        <v>79</v>
      </c>
      <c r="B33" s="27">
        <f>'Data Sheet'!B93*'Data Sheet'!B90</f>
        <v>247608.32039999997</v>
      </c>
      <c r="C33" s="27">
        <f>'Data Sheet'!C93*'Data Sheet'!C90</f>
        <v>319172.935</v>
      </c>
      <c r="D33" s="27">
        <f>'Data Sheet'!D93*'Data Sheet'!D90</f>
        <v>292292.98500000004</v>
      </c>
      <c r="E33" s="27">
        <f>'Data Sheet'!E93*'Data Sheet'!E90</f>
        <v>341573.63039999997</v>
      </c>
      <c r="F33" s="27">
        <f>'Data Sheet'!F93*'Data Sheet'!F90</f>
        <v>197842.959</v>
      </c>
      <c r="G33" s="27">
        <f>'Data Sheet'!G93*'Data Sheet'!G90</f>
        <v>252108.84160000001</v>
      </c>
      <c r="H33" s="27">
        <f>'Data Sheet'!H93*'Data Sheet'!H90</f>
        <v>289548.25679999997</v>
      </c>
      <c r="I33" s="27">
        <f>'Data Sheet'!I93*'Data Sheet'!I90</f>
        <v>446774.17200000002</v>
      </c>
      <c r="J33" s="27">
        <f>'Data Sheet'!J93*'Data Sheet'!J90</f>
        <v>501298.15909999999</v>
      </c>
      <c r="K33" s="27">
        <f>'Data Sheet'!K93*'Data Sheet'!K90</f>
        <v>512765.24750000006</v>
      </c>
    </row>
    <row r="34" spans="1:11">
      <c r="A34" t="s">
        <v>117</v>
      </c>
      <c r="B34">
        <f>'Data Sheet'!B59</f>
        <v>83.78</v>
      </c>
      <c r="C34">
        <f>'Data Sheet'!C59</f>
        <v>45.72</v>
      </c>
      <c r="D34">
        <f>'Data Sheet'!D59</f>
        <v>35.92</v>
      </c>
      <c r="E34">
        <f>'Data Sheet'!E59</f>
        <v>13.44</v>
      </c>
      <c r="F34">
        <f>'Data Sheet'!F59</f>
        <v>277.45</v>
      </c>
      <c r="G34">
        <f>'Data Sheet'!G59</f>
        <v>270.83</v>
      </c>
      <c r="H34">
        <f>'Data Sheet'!H59</f>
        <v>249.44</v>
      </c>
      <c r="I34">
        <f>'Data Sheet'!I59</f>
        <v>306.04000000000002</v>
      </c>
      <c r="J34">
        <f>'Data Sheet'!J59</f>
        <v>303.43</v>
      </c>
      <c r="K34">
        <f>'Data Sheet'!K59</f>
        <v>284.54000000000002</v>
      </c>
    </row>
    <row r="35" spans="1:11">
      <c r="A35" t="s">
        <v>118</v>
      </c>
      <c r="B35">
        <f>'Data Sheet'!B69</f>
        <v>6063.3</v>
      </c>
      <c r="C35">
        <f>'Data Sheet'!C69</f>
        <v>2967.4</v>
      </c>
      <c r="D35">
        <f>'Data Sheet'!D69</f>
        <v>2899.6</v>
      </c>
      <c r="E35">
        <f>'Data Sheet'!E69</f>
        <v>4152.03</v>
      </c>
      <c r="F35">
        <f>'Data Sheet'!F69</f>
        <v>7277.34</v>
      </c>
      <c r="G35">
        <f>'Data Sheet'!G69</f>
        <v>4659.0200000000004</v>
      </c>
      <c r="H35">
        <f>'Data Sheet'!H69</f>
        <v>4654.42</v>
      </c>
      <c r="I35">
        <f>'Data Sheet'!I69</f>
        <v>4880.1899999999996</v>
      </c>
      <c r="J35">
        <f>'Data Sheet'!J69</f>
        <v>7217.68</v>
      </c>
      <c r="K35">
        <f>'Data Sheet'!K69</f>
        <v>4012.36</v>
      </c>
    </row>
    <row r="36" spans="1:11">
      <c r="A36" t="s">
        <v>119</v>
      </c>
      <c r="B36" s="27">
        <f>B33+B34-B35</f>
        <v>241628.80039999998</v>
      </c>
      <c r="C36" s="27">
        <f t="shared" ref="C36:K36" si="11">C33+C34-C35</f>
        <v>316251.25499999995</v>
      </c>
      <c r="D36" s="27">
        <f t="shared" si="11"/>
        <v>289429.30500000005</v>
      </c>
      <c r="E36" s="27">
        <f t="shared" si="11"/>
        <v>337435.04039999994</v>
      </c>
      <c r="F36" s="27">
        <f t="shared" si="11"/>
        <v>190843.06900000002</v>
      </c>
      <c r="G36" s="27">
        <f t="shared" si="11"/>
        <v>247720.65160000001</v>
      </c>
      <c r="H36" s="27">
        <f t="shared" si="11"/>
        <v>285143.27679999999</v>
      </c>
      <c r="I36" s="27">
        <f t="shared" si="11"/>
        <v>442200.022</v>
      </c>
      <c r="J36" s="27">
        <f t="shared" si="11"/>
        <v>494383.90909999999</v>
      </c>
      <c r="K36" s="27">
        <f t="shared" si="11"/>
        <v>509037.42750000005</v>
      </c>
    </row>
    <row r="38" spans="1:11">
      <c r="A38" t="s">
        <v>120</v>
      </c>
      <c r="B38" s="32">
        <f>B36/'Profit &amp; Loss'!B6</f>
        <v>16.627943892883657</v>
      </c>
      <c r="C38" s="32">
        <f>C36/'Profit &amp; Loss'!C6</f>
        <v>20.443521158718021</v>
      </c>
      <c r="D38" s="32">
        <f>D36/'Profit &amp; Loss'!D6</f>
        <v>17.519308027134624</v>
      </c>
      <c r="E38" s="32">
        <f>E36/'Profit &amp; Loss'!E6</f>
        <v>18.202942291228695</v>
      </c>
      <c r="F38" s="32">
        <f>F36/'Profit &amp; Loss'!F6</f>
        <v>9.8659846646477352</v>
      </c>
      <c r="G38" s="32">
        <f>G36/'Profit &amp; Loss'!G6</f>
        <v>14.516486681926171</v>
      </c>
      <c r="H38" s="32">
        <f>H36/'Profit &amp; Loss'!H6</f>
        <v>13.826368755500493</v>
      </c>
      <c r="I38" s="32">
        <f>I36/'Profit &amp; Loss'!I6</f>
        <v>17.203374926957636</v>
      </c>
      <c r="J38" s="32">
        <f>J36/'Profit &amp; Loss'!J6</f>
        <v>19.628121896033473</v>
      </c>
      <c r="K38" s="32">
        <f>K36/'Profit &amp; Loss'!K6</f>
        <v>19.700010158884965</v>
      </c>
    </row>
    <row r="39" spans="1:11">
      <c r="A39" t="s">
        <v>121</v>
      </c>
      <c r="B39" s="32">
        <f>B36/B4</f>
        <v>6.1652424952987968</v>
      </c>
      <c r="C39" s="32">
        <f t="shared" ref="C39:K39" si="12">C36/C4</f>
        <v>7.3946458300208562</v>
      </c>
      <c r="D39" s="32">
        <f t="shared" si="12"/>
        <v>6.6613663072102574</v>
      </c>
      <c r="E39" s="32">
        <f t="shared" si="12"/>
        <v>6.9805124579071629</v>
      </c>
      <c r="F39" s="32">
        <f t="shared" si="12"/>
        <v>3.8641821546660409</v>
      </c>
      <c r="G39" s="32">
        <f t="shared" si="12"/>
        <v>5.0291001990561837</v>
      </c>
      <c r="H39" s="32">
        <f t="shared" si="12"/>
        <v>4.7018787973327854</v>
      </c>
      <c r="I39" s="32">
        <f t="shared" si="12"/>
        <v>6.2352801779719771</v>
      </c>
      <c r="J39" s="32">
        <f t="shared" si="12"/>
        <v>7.2776356615165119</v>
      </c>
      <c r="K39" s="32">
        <f t="shared" si="12"/>
        <v>6.7580304789989407</v>
      </c>
    </row>
    <row r="40" spans="1:11">
      <c r="A40" t="s">
        <v>123</v>
      </c>
      <c r="B40" s="32">
        <f>B36/'Data Sheet'!B35</f>
        <v>5.6614694916906272</v>
      </c>
      <c r="C40" s="32">
        <f>C36/'Data Sheet'!C35</f>
        <v>6.813861029674273</v>
      </c>
      <c r="D40" s="32">
        <f>D36/'Data Sheet'!D35</f>
        <v>5.5118777126918994</v>
      </c>
      <c r="E40" s="32">
        <f>E36/'Data Sheet'!E35</f>
        <v>5.7056150915602011</v>
      </c>
      <c r="F40" s="32">
        <f>F36/'Data Sheet'!F35</f>
        <v>2.9237557462274752</v>
      </c>
      <c r="G40" s="32">
        <f>G36/'Data Sheet'!G35</f>
        <v>4.1049141784874035</v>
      </c>
      <c r="H40" s="32">
        <f>H36/'Data Sheet'!H35</f>
        <v>4.5655379784381118</v>
      </c>
      <c r="I40" s="32">
        <f>I36/'Data Sheet'!I35</f>
        <v>6.3943078516370253</v>
      </c>
      <c r="J40" s="32">
        <f>J36/'Data Sheet'!J35</f>
        <v>6.6354021648972576</v>
      </c>
      <c r="K40" s="32">
        <f>K36/'Data Sheet'!K35</f>
        <v>7.2688428396095679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scale="67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/>
  <cols>
    <col min="1" max="1" width="20.7109375" customWidth="1"/>
    <col min="2" max="11" width="13.42578125" bestFit="1" customWidth="1"/>
  </cols>
  <sheetData>
    <row r="1" spans="1:11" s="2" customFormat="1">
      <c r="A1" s="2" t="str">
        <f>'Profit &amp; Loss'!A1</f>
        <v>ITC LTD</v>
      </c>
      <c r="E1" t="str">
        <f>UPDATE</f>
        <v/>
      </c>
      <c r="J1" s="2" t="s">
        <v>1</v>
      </c>
    </row>
    <row r="3" spans="1:11" s="2" customFormat="1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>
      <c r="A4" s="2" t="s">
        <v>6</v>
      </c>
      <c r="B4" s="1">
        <f>'Data Sheet'!B42</f>
        <v>17774.47</v>
      </c>
      <c r="C4" s="1">
        <f>'Data Sheet'!C42</f>
        <v>17195.240000000002</v>
      </c>
      <c r="D4" s="1">
        <f>'Data Sheet'!D42</f>
        <v>17037.8</v>
      </c>
      <c r="E4" s="1">
        <f>'Data Sheet'!E42</f>
        <v>17777.810000000001</v>
      </c>
      <c r="F4" s="1">
        <f>'Data Sheet'!F42</f>
        <v>19990.36</v>
      </c>
      <c r="G4" s="1">
        <f>'Data Sheet'!G42</f>
        <v>18790.169999999998</v>
      </c>
      <c r="H4" s="1">
        <f>'Data Sheet'!H42</f>
        <v>18765</v>
      </c>
      <c r="I4" s="1">
        <f>'Data Sheet'!I42</f>
        <v>21494.79</v>
      </c>
      <c r="J4" s="1">
        <f>'Data Sheet'!J42</f>
        <v>19501.63</v>
      </c>
      <c r="K4" s="1">
        <f>'Data Sheet'!K42</f>
        <v>20047.3</v>
      </c>
    </row>
    <row r="5" spans="1:11">
      <c r="A5" t="s">
        <v>7</v>
      </c>
      <c r="B5" s="6">
        <f>'Data Sheet'!B43</f>
        <v>11320.23</v>
      </c>
      <c r="C5" s="6">
        <f>'Data Sheet'!C43</f>
        <v>10985.01</v>
      </c>
      <c r="D5" s="6">
        <f>'Data Sheet'!D43</f>
        <v>10735.73</v>
      </c>
      <c r="E5" s="6">
        <f>'Data Sheet'!E43</f>
        <v>11232.97</v>
      </c>
      <c r="F5" s="6">
        <f>'Data Sheet'!F43</f>
        <v>13438.28</v>
      </c>
      <c r="G5" s="6">
        <f>'Data Sheet'!G43</f>
        <v>12428.27</v>
      </c>
      <c r="H5" s="6">
        <f>'Data Sheet'!H43</f>
        <v>12245.61</v>
      </c>
      <c r="I5" s="6">
        <f>'Data Sheet'!I43</f>
        <v>14678.32</v>
      </c>
      <c r="J5" s="6">
        <f>'Data Sheet'!J43</f>
        <v>12806.94</v>
      </c>
      <c r="K5" s="6">
        <f>'Data Sheet'!K43</f>
        <v>13164.78</v>
      </c>
    </row>
    <row r="6" spans="1:11" s="2" customFormat="1">
      <c r="A6" s="2" t="s">
        <v>8</v>
      </c>
      <c r="B6" s="1">
        <f>'Data Sheet'!B50</f>
        <v>6454.24</v>
      </c>
      <c r="C6" s="1">
        <f>'Data Sheet'!C50</f>
        <v>6210.23</v>
      </c>
      <c r="D6" s="1">
        <f>'Data Sheet'!D50</f>
        <v>6302.07</v>
      </c>
      <c r="E6" s="1">
        <f>'Data Sheet'!E50</f>
        <v>6544.84</v>
      </c>
      <c r="F6" s="1">
        <f>'Data Sheet'!F50</f>
        <v>6552.08</v>
      </c>
      <c r="G6" s="1">
        <f>'Data Sheet'!G50</f>
        <v>6361.9</v>
      </c>
      <c r="H6" s="1">
        <f>'Data Sheet'!H50</f>
        <v>6519.39</v>
      </c>
      <c r="I6" s="1">
        <f>'Data Sheet'!I50</f>
        <v>6816.47</v>
      </c>
      <c r="J6" s="1">
        <f>'Data Sheet'!J50</f>
        <v>6694.69</v>
      </c>
      <c r="K6" s="1">
        <f>'Data Sheet'!K50</f>
        <v>6882.52</v>
      </c>
    </row>
    <row r="7" spans="1:11">
      <c r="A7" t="s">
        <v>9</v>
      </c>
      <c r="B7" s="6">
        <f>'Data Sheet'!B44</f>
        <v>673.5</v>
      </c>
      <c r="C7" s="6">
        <f>'Data Sheet'!C44</f>
        <v>820.26</v>
      </c>
      <c r="D7" s="6">
        <f>'Data Sheet'!D44</f>
        <v>868</v>
      </c>
      <c r="E7" s="6">
        <f>'Data Sheet'!E44</f>
        <v>771.13</v>
      </c>
      <c r="F7" s="6">
        <f>'Data Sheet'!F44</f>
        <v>690.31</v>
      </c>
      <c r="G7" s="6">
        <f>'Data Sheet'!G44</f>
        <v>803.4</v>
      </c>
      <c r="H7" s="6">
        <f>'Data Sheet'!H44</f>
        <v>15391.28</v>
      </c>
      <c r="I7" s="6">
        <f>'Data Sheet'!I44</f>
        <v>750.97</v>
      </c>
      <c r="J7" s="6">
        <f>'Data Sheet'!J44</f>
        <v>738.84</v>
      </c>
      <c r="K7" s="6">
        <f>'Data Sheet'!K44</f>
        <v>321.85000000000002</v>
      </c>
    </row>
    <row r="8" spans="1:11">
      <c r="A8" t="s">
        <v>10</v>
      </c>
      <c r="B8" s="6">
        <f>'Data Sheet'!B45</f>
        <v>453.04</v>
      </c>
      <c r="C8" s="6">
        <f>'Data Sheet'!C45</f>
        <v>384.04</v>
      </c>
      <c r="D8" s="6">
        <f>'Data Sheet'!D45</f>
        <v>385.09</v>
      </c>
      <c r="E8" s="6">
        <f>'Data Sheet'!E45</f>
        <v>403.13</v>
      </c>
      <c r="F8" s="6">
        <f>'Data Sheet'!F45</f>
        <v>416.18</v>
      </c>
      <c r="G8" s="6">
        <f>'Data Sheet'!G45</f>
        <v>415.98</v>
      </c>
      <c r="H8" s="6">
        <f>'Data Sheet'!H45</f>
        <v>411.03</v>
      </c>
      <c r="I8" s="6">
        <f>'Data Sheet'!I45</f>
        <v>422.96</v>
      </c>
      <c r="J8" s="6">
        <f>'Data Sheet'!J45</f>
        <v>434.8</v>
      </c>
      <c r="K8" s="6">
        <f>'Data Sheet'!K45</f>
        <v>430.82</v>
      </c>
    </row>
    <row r="9" spans="1:11">
      <c r="A9" t="s">
        <v>11</v>
      </c>
      <c r="B9" s="6">
        <f>'Data Sheet'!B46</f>
        <v>9.8699999999999992</v>
      </c>
      <c r="C9" s="6">
        <f>'Data Sheet'!C46</f>
        <v>11.94</v>
      </c>
      <c r="D9" s="6">
        <f>'Data Sheet'!D46</f>
        <v>10.72</v>
      </c>
      <c r="E9" s="6">
        <f>'Data Sheet'!E46</f>
        <v>9.6</v>
      </c>
      <c r="F9" s="6">
        <f>'Data Sheet'!F46</f>
        <v>14.73</v>
      </c>
      <c r="G9" s="6">
        <f>'Data Sheet'!G46</f>
        <v>9.82</v>
      </c>
      <c r="H9" s="6">
        <f>'Data Sheet'!H46</f>
        <v>10.91</v>
      </c>
      <c r="I9" s="6">
        <f>'Data Sheet'!I46</f>
        <v>16.47</v>
      </c>
      <c r="J9" s="6">
        <f>'Data Sheet'!J46</f>
        <v>20.05</v>
      </c>
      <c r="K9" s="6">
        <f>'Data Sheet'!K46</f>
        <v>19.47</v>
      </c>
    </row>
    <row r="10" spans="1:11">
      <c r="A10" t="s">
        <v>12</v>
      </c>
      <c r="B10" s="6">
        <f>'Data Sheet'!B47</f>
        <v>6664.83</v>
      </c>
      <c r="C10" s="6">
        <f>'Data Sheet'!C47</f>
        <v>6634.51</v>
      </c>
      <c r="D10" s="6">
        <f>'Data Sheet'!D47</f>
        <v>6774.26</v>
      </c>
      <c r="E10" s="6">
        <f>'Data Sheet'!E47</f>
        <v>6903.24</v>
      </c>
      <c r="F10" s="6">
        <f>'Data Sheet'!F47</f>
        <v>6811.48</v>
      </c>
      <c r="G10" s="6">
        <f>'Data Sheet'!G47</f>
        <v>6739.5</v>
      </c>
      <c r="H10" s="6">
        <f>'Data Sheet'!H47</f>
        <v>21488.73</v>
      </c>
      <c r="I10" s="6">
        <f>'Data Sheet'!I47</f>
        <v>7128.01</v>
      </c>
      <c r="J10" s="6">
        <f>'Data Sheet'!J47</f>
        <v>6978.68</v>
      </c>
      <c r="K10" s="6">
        <f>'Data Sheet'!K47</f>
        <v>6754.08</v>
      </c>
    </row>
    <row r="11" spans="1:11">
      <c r="A11" t="s">
        <v>13</v>
      </c>
      <c r="B11" s="6">
        <f>'Data Sheet'!B48</f>
        <v>1700.31</v>
      </c>
      <c r="C11" s="6">
        <f>'Data Sheet'!C48</f>
        <v>1227.99</v>
      </c>
      <c r="D11" s="6">
        <f>'Data Sheet'!D48</f>
        <v>1583.55</v>
      </c>
      <c r="E11" s="6">
        <f>'Data Sheet'!E48</f>
        <v>1726.25</v>
      </c>
      <c r="F11" s="6">
        <f>'Data Sheet'!F48</f>
        <v>1757.05</v>
      </c>
      <c r="G11" s="6">
        <f>'Data Sheet'!G48</f>
        <v>1726.32</v>
      </c>
      <c r="H11" s="6">
        <f>'Data Sheet'!H48</f>
        <v>1680.85</v>
      </c>
      <c r="I11" s="6">
        <f>'Data Sheet'!I48</f>
        <v>1784.6</v>
      </c>
      <c r="J11" s="6">
        <f>'Data Sheet'!J48</f>
        <v>1792.13</v>
      </c>
      <c r="K11" s="6">
        <f>'Data Sheet'!K48</f>
        <v>1735.63</v>
      </c>
    </row>
    <row r="12" spans="1:11" s="2" customFormat="1">
      <c r="A12" s="2" t="s">
        <v>14</v>
      </c>
      <c r="B12" s="1">
        <f>'Data Sheet'!B49</f>
        <v>4898.07</v>
      </c>
      <c r="C12" s="1">
        <f>'Data Sheet'!C49</f>
        <v>5335.23</v>
      </c>
      <c r="D12" s="1">
        <f>'Data Sheet'!D49</f>
        <v>5120.55</v>
      </c>
      <c r="E12" s="1">
        <f>'Data Sheet'!E49</f>
        <v>5091.59</v>
      </c>
      <c r="F12" s="1">
        <f>'Data Sheet'!F49</f>
        <v>4992.87</v>
      </c>
      <c r="G12" s="1">
        <f>'Data Sheet'!G49</f>
        <v>4934.8</v>
      </c>
      <c r="H12" s="1">
        <f>'Data Sheet'!H49</f>
        <v>19727.37</v>
      </c>
      <c r="I12" s="1">
        <f>'Data Sheet'!I49</f>
        <v>5244.2</v>
      </c>
      <c r="J12" s="1">
        <f>'Data Sheet'!J49</f>
        <v>5126.1099999999997</v>
      </c>
      <c r="K12" s="1">
        <f>'Data Sheet'!K49</f>
        <v>4931.1899999999996</v>
      </c>
    </row>
    <row r="14" spans="1:11" s="2" customFormat="1">
      <c r="A14" s="2" t="s">
        <v>18</v>
      </c>
      <c r="B14" s="10">
        <f>IF(B4&gt;0,B6/B4,"")</f>
        <v>0.3631185627475812</v>
      </c>
      <c r="C14" s="10">
        <f t="shared" ref="C14:K14" si="0">IF(C4&gt;0,C6/C4,"")</f>
        <v>0.36115983260483708</v>
      </c>
      <c r="D14" s="10">
        <f t="shared" si="0"/>
        <v>0.36988754416650038</v>
      </c>
      <c r="E14" s="10">
        <f t="shared" si="0"/>
        <v>0.36814658273431877</v>
      </c>
      <c r="F14" s="10">
        <f t="shared" si="0"/>
        <v>0.32776198127497452</v>
      </c>
      <c r="G14" s="10">
        <f t="shared" si="0"/>
        <v>0.3385759681791064</v>
      </c>
      <c r="H14" s="10">
        <f t="shared" si="0"/>
        <v>0.34742286171063153</v>
      </c>
      <c r="I14" s="10">
        <f t="shared" si="0"/>
        <v>0.31712196304313744</v>
      </c>
      <c r="J14" s="10">
        <f t="shared" si="0"/>
        <v>0.34328874047964192</v>
      </c>
      <c r="K14" s="10">
        <f t="shared" si="0"/>
        <v>0.34331406224279581</v>
      </c>
    </row>
    <row r="22" s="23" customFormat="1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4" orientation="landscape" horizontalDpi="300" verticalDpi="3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16" activePane="bottomRight" state="frozen"/>
      <selection activeCell="C4" sqref="C4"/>
      <selection pane="topRight" activeCell="C4" sqref="C4"/>
      <selection pane="bottomLeft" activeCell="C4" sqref="C4"/>
      <selection pane="bottomRight" activeCell="E24" sqref="E24"/>
    </sheetView>
  </sheetViews>
  <sheetFormatPr defaultColWidth="8.85546875" defaultRowHeight="1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>
      <c r="A1" s="2" t="str">
        <f>'Profit &amp; Loss'!A1</f>
        <v>ITC LTD</v>
      </c>
      <c r="E1" t="str">
        <f>UPDATE</f>
        <v/>
      </c>
      <c r="G1"/>
      <c r="J1" s="2" t="s">
        <v>1</v>
      </c>
    </row>
    <row r="2" spans="1:11">
      <c r="G2" s="2"/>
      <c r="H2" s="2"/>
    </row>
    <row r="3" spans="1:11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>
      <c r="A4" t="s">
        <v>24</v>
      </c>
      <c r="B4" s="14">
        <f>'Data Sheet'!B57</f>
        <v>804.72</v>
      </c>
      <c r="C4" s="14">
        <f>'Data Sheet'!C57</f>
        <v>1214.74</v>
      </c>
      <c r="D4" s="14">
        <f>'Data Sheet'!D57</f>
        <v>1220.43</v>
      </c>
      <c r="E4" s="14">
        <f>'Data Sheet'!E57</f>
        <v>1225.8599999999999</v>
      </c>
      <c r="F4" s="14">
        <f>'Data Sheet'!F57</f>
        <v>1229.22</v>
      </c>
      <c r="G4" s="14">
        <f>'Data Sheet'!G57</f>
        <v>1230.8800000000001</v>
      </c>
      <c r="H4" s="14">
        <f>'Data Sheet'!H57</f>
        <v>1232.33</v>
      </c>
      <c r="I4" s="14">
        <f>'Data Sheet'!I57</f>
        <v>1242.8</v>
      </c>
      <c r="J4" s="14">
        <f>'Data Sheet'!J57</f>
        <v>1248.47</v>
      </c>
      <c r="K4" s="14">
        <f>'Data Sheet'!K57</f>
        <v>1251.4100000000001</v>
      </c>
    </row>
    <row r="5" spans="1:11">
      <c r="A5" t="s">
        <v>25</v>
      </c>
      <c r="B5" s="14">
        <f>'Data Sheet'!B58</f>
        <v>41874.800000000003</v>
      </c>
      <c r="C5" s="14">
        <f>'Data Sheet'!C58</f>
        <v>45198.19</v>
      </c>
      <c r="D5" s="14">
        <f>'Data Sheet'!D58</f>
        <v>51289.68</v>
      </c>
      <c r="E5" s="14">
        <f>'Data Sheet'!E58</f>
        <v>57915.01</v>
      </c>
      <c r="F5" s="14">
        <f>'Data Sheet'!F58</f>
        <v>64044.04</v>
      </c>
      <c r="G5" s="14">
        <f>'Data Sheet'!G58</f>
        <v>59116.46</v>
      </c>
      <c r="H5" s="14">
        <f>'Data Sheet'!H58</f>
        <v>61223.24</v>
      </c>
      <c r="I5" s="14">
        <f>'Data Sheet'!I58</f>
        <v>67912.460000000006</v>
      </c>
      <c r="J5" s="14">
        <f>'Data Sheet'!J58</f>
        <v>73258.53</v>
      </c>
      <c r="K5" s="14">
        <f>'Data Sheet'!K58</f>
        <v>68778.64</v>
      </c>
    </row>
    <row r="6" spans="1:11">
      <c r="A6" t="s">
        <v>71</v>
      </c>
      <c r="B6" s="14">
        <f>'Data Sheet'!B59</f>
        <v>83.78</v>
      </c>
      <c r="C6" s="14">
        <f>'Data Sheet'!C59</f>
        <v>45.72</v>
      </c>
      <c r="D6" s="14">
        <f>'Data Sheet'!D59</f>
        <v>35.92</v>
      </c>
      <c r="E6" s="14">
        <f>'Data Sheet'!E59</f>
        <v>13.44</v>
      </c>
      <c r="F6" s="14">
        <f>'Data Sheet'!F59</f>
        <v>277.45</v>
      </c>
      <c r="G6" s="14">
        <f>'Data Sheet'!G59</f>
        <v>270.83</v>
      </c>
      <c r="H6" s="14">
        <f>'Data Sheet'!H59</f>
        <v>249.44</v>
      </c>
      <c r="I6" s="14">
        <f>'Data Sheet'!I59</f>
        <v>306.04000000000002</v>
      </c>
      <c r="J6" s="14">
        <f>'Data Sheet'!J59</f>
        <v>303.43</v>
      </c>
      <c r="K6" s="14">
        <f>'Data Sheet'!K59</f>
        <v>284.54000000000002</v>
      </c>
    </row>
    <row r="7" spans="1:11">
      <c r="A7" t="s">
        <v>72</v>
      </c>
      <c r="B7" s="14">
        <f>'Data Sheet'!B60</f>
        <v>8888.0400000000009</v>
      </c>
      <c r="C7" s="14">
        <f>'Data Sheet'!C60</f>
        <v>9439.67</v>
      </c>
      <c r="D7" s="14">
        <f>'Data Sheet'!D60</f>
        <v>11694.85</v>
      </c>
      <c r="E7" s="14">
        <f>'Data Sheet'!E60</f>
        <v>12584.73</v>
      </c>
      <c r="F7" s="14">
        <f>'Data Sheet'!F60</f>
        <v>11760.04</v>
      </c>
      <c r="G7" s="14">
        <f>'Data Sheet'!G60</f>
        <v>13142.59</v>
      </c>
      <c r="H7" s="14">
        <f>'Data Sheet'!H60</f>
        <v>14491.01</v>
      </c>
      <c r="I7" s="14">
        <f>'Data Sheet'!I60</f>
        <v>16369.66</v>
      </c>
      <c r="J7" s="14">
        <f>'Data Sheet'!J60</f>
        <v>16943.54</v>
      </c>
      <c r="K7" s="14">
        <f>'Data Sheet'!K60</f>
        <v>17688.11</v>
      </c>
    </row>
    <row r="8" spans="1:11" s="2" customFormat="1">
      <c r="A8" s="2" t="s">
        <v>26</v>
      </c>
      <c r="B8" s="15">
        <f>'Data Sheet'!B61</f>
        <v>51651.34</v>
      </c>
      <c r="C8" s="15">
        <f>'Data Sheet'!C61</f>
        <v>55898.32</v>
      </c>
      <c r="D8" s="15">
        <f>'Data Sheet'!D61</f>
        <v>64240.88</v>
      </c>
      <c r="E8" s="15">
        <f>'Data Sheet'!E61</f>
        <v>71739.039999999994</v>
      </c>
      <c r="F8" s="15">
        <f>'Data Sheet'!F61</f>
        <v>77310.75</v>
      </c>
      <c r="G8" s="15">
        <f>'Data Sheet'!G61</f>
        <v>73760.759999999995</v>
      </c>
      <c r="H8" s="15">
        <f>'Data Sheet'!H61</f>
        <v>77196.02</v>
      </c>
      <c r="I8" s="15">
        <f>'Data Sheet'!I61</f>
        <v>85830.96</v>
      </c>
      <c r="J8" s="15">
        <f>'Data Sheet'!J61</f>
        <v>91753.97</v>
      </c>
      <c r="K8" s="15">
        <f>'Data Sheet'!K61</f>
        <v>88002.7</v>
      </c>
    </row>
    <row r="9" spans="1:11" s="2" customFormat="1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>
      <c r="A10" t="s">
        <v>27</v>
      </c>
      <c r="B10" s="14">
        <f>'Data Sheet'!B62</f>
        <v>15106.63</v>
      </c>
      <c r="C10" s="14">
        <f>'Data Sheet'!C62</f>
        <v>15893.48</v>
      </c>
      <c r="D10" s="14">
        <f>'Data Sheet'!D62</f>
        <v>16523.96</v>
      </c>
      <c r="E10" s="14">
        <f>'Data Sheet'!E62</f>
        <v>19374.189999999999</v>
      </c>
      <c r="F10" s="14">
        <f>'Data Sheet'!F62</f>
        <v>21713.34</v>
      </c>
      <c r="G10" s="14">
        <f>'Data Sheet'!G62</f>
        <v>23298.48</v>
      </c>
      <c r="H10" s="14">
        <f>'Data Sheet'!H62</f>
        <v>24231.59</v>
      </c>
      <c r="I10" s="14">
        <f>'Data Sheet'!I62</f>
        <v>25851.27</v>
      </c>
      <c r="J10" s="14">
        <f>'Data Sheet'!J62</f>
        <v>27820.22</v>
      </c>
      <c r="K10" s="14">
        <f>'Data Sheet'!K62</f>
        <v>21954.85</v>
      </c>
    </row>
    <row r="11" spans="1:11">
      <c r="A11" t="s">
        <v>28</v>
      </c>
      <c r="B11" s="14">
        <f>'Data Sheet'!B63</f>
        <v>2559.7199999999998</v>
      </c>
      <c r="C11" s="14">
        <f>'Data Sheet'!C63</f>
        <v>3729.89</v>
      </c>
      <c r="D11" s="14">
        <f>'Data Sheet'!D63</f>
        <v>5508.33</v>
      </c>
      <c r="E11" s="14">
        <f>'Data Sheet'!E63</f>
        <v>4136.42</v>
      </c>
      <c r="F11" s="14">
        <f>'Data Sheet'!F63</f>
        <v>3256.46</v>
      </c>
      <c r="G11" s="14">
        <f>'Data Sheet'!G63</f>
        <v>4011.29</v>
      </c>
      <c r="H11" s="14">
        <f>'Data Sheet'!H63</f>
        <v>3225.54</v>
      </c>
      <c r="I11" s="14">
        <f>'Data Sheet'!I63</f>
        <v>3003.3</v>
      </c>
      <c r="J11" s="14">
        <f>'Data Sheet'!J63</f>
        <v>2860.78</v>
      </c>
      <c r="K11" s="14">
        <f>'Data Sheet'!K63</f>
        <v>1090.9100000000001</v>
      </c>
    </row>
    <row r="12" spans="1:11">
      <c r="A12" t="s">
        <v>29</v>
      </c>
      <c r="B12" s="14">
        <f>'Data Sheet'!B64</f>
        <v>11747.59</v>
      </c>
      <c r="C12" s="14">
        <f>'Data Sheet'!C64</f>
        <v>17581.38</v>
      </c>
      <c r="D12" s="14">
        <f>'Data Sheet'!D64</f>
        <v>22052.86</v>
      </c>
      <c r="E12" s="14">
        <f>'Data Sheet'!E64</f>
        <v>25043.49</v>
      </c>
      <c r="F12" s="14">
        <f>'Data Sheet'!F64</f>
        <v>28663.35</v>
      </c>
      <c r="G12" s="14">
        <f>'Data Sheet'!G64</f>
        <v>24870.87</v>
      </c>
      <c r="H12" s="14">
        <f>'Data Sheet'!H64</f>
        <v>24841.01</v>
      </c>
      <c r="I12" s="14">
        <f>'Data Sheet'!I64</f>
        <v>29415.02</v>
      </c>
      <c r="J12" s="14">
        <f>'Data Sheet'!J64</f>
        <v>31114.02</v>
      </c>
      <c r="K12" s="14">
        <f>'Data Sheet'!K64</f>
        <v>34719.82</v>
      </c>
    </row>
    <row r="13" spans="1:11">
      <c r="A13" t="s">
        <v>73</v>
      </c>
      <c r="B13" s="14">
        <f>'Data Sheet'!B65</f>
        <v>22237.4</v>
      </c>
      <c r="C13" s="14">
        <f>'Data Sheet'!C65</f>
        <v>18693.57</v>
      </c>
      <c r="D13" s="14">
        <f>'Data Sheet'!D65</f>
        <v>20155.73</v>
      </c>
      <c r="E13" s="14">
        <f>'Data Sheet'!E65</f>
        <v>23184.94</v>
      </c>
      <c r="F13" s="14">
        <f>'Data Sheet'!F65</f>
        <v>23677.599999999999</v>
      </c>
      <c r="G13" s="14">
        <f>'Data Sheet'!G65</f>
        <v>21580.12</v>
      </c>
      <c r="H13" s="14">
        <f>'Data Sheet'!H65</f>
        <v>24897.88</v>
      </c>
      <c r="I13" s="14">
        <f>'Data Sheet'!I65</f>
        <v>27561.37</v>
      </c>
      <c r="J13" s="14">
        <f>'Data Sheet'!J65</f>
        <v>29958.95</v>
      </c>
      <c r="K13" s="14">
        <f>'Data Sheet'!K65</f>
        <v>30237.119999999999</v>
      </c>
    </row>
    <row r="14" spans="1:11" s="2" customFormat="1">
      <c r="A14" s="2" t="s">
        <v>26</v>
      </c>
      <c r="B14" s="14">
        <f>'Data Sheet'!B66</f>
        <v>51651.34</v>
      </c>
      <c r="C14" s="14">
        <f>'Data Sheet'!C66</f>
        <v>55898.32</v>
      </c>
      <c r="D14" s="14">
        <f>'Data Sheet'!D66</f>
        <v>64240.88</v>
      </c>
      <c r="E14" s="14">
        <f>'Data Sheet'!E66</f>
        <v>71739.039999999994</v>
      </c>
      <c r="F14" s="14">
        <f>'Data Sheet'!F66</f>
        <v>77310.75</v>
      </c>
      <c r="G14" s="14">
        <f>'Data Sheet'!G66</f>
        <v>73760.759999999995</v>
      </c>
      <c r="H14" s="14">
        <f>'Data Sheet'!H66</f>
        <v>77196.02</v>
      </c>
      <c r="I14" s="14">
        <f>'Data Sheet'!I66</f>
        <v>85830.96</v>
      </c>
      <c r="J14" s="14">
        <f>'Data Sheet'!J66</f>
        <v>91753.97</v>
      </c>
      <c r="K14" s="14">
        <f>'Data Sheet'!K66</f>
        <v>88002.7</v>
      </c>
    </row>
    <row r="15" spans="1:11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t="s">
        <v>30</v>
      </c>
      <c r="B16" s="4">
        <f>B13-B7</f>
        <v>13349.36</v>
      </c>
      <c r="C16" s="4">
        <f t="shared" ref="C16:K16" si="0">C13-C7</f>
        <v>9253.9</v>
      </c>
      <c r="D16" s="4">
        <f t="shared" si="0"/>
        <v>8460.8799999999992</v>
      </c>
      <c r="E16" s="4">
        <f t="shared" si="0"/>
        <v>10600.21</v>
      </c>
      <c r="F16" s="4">
        <f t="shared" si="0"/>
        <v>11917.559999999998</v>
      </c>
      <c r="G16" s="4">
        <f t="shared" si="0"/>
        <v>8437.5299999999988</v>
      </c>
      <c r="H16" s="4">
        <f t="shared" si="0"/>
        <v>10406.870000000001</v>
      </c>
      <c r="I16" s="4">
        <f t="shared" si="0"/>
        <v>11191.71</v>
      </c>
      <c r="J16" s="4">
        <f t="shared" si="0"/>
        <v>13015.41</v>
      </c>
      <c r="K16" s="4">
        <f t="shared" si="0"/>
        <v>12549.009999999998</v>
      </c>
    </row>
    <row r="17" spans="1:11">
      <c r="A17" t="s">
        <v>44</v>
      </c>
      <c r="B17" s="4">
        <f>'Data Sheet'!B67</f>
        <v>1917.18</v>
      </c>
      <c r="C17" s="4">
        <f>'Data Sheet'!C67</f>
        <v>2474.29</v>
      </c>
      <c r="D17" s="4">
        <f>'Data Sheet'!D67</f>
        <v>2682.29</v>
      </c>
      <c r="E17" s="4">
        <f>'Data Sheet'!E67</f>
        <v>4035.28</v>
      </c>
      <c r="F17" s="4">
        <f>'Data Sheet'!F67</f>
        <v>2562.48</v>
      </c>
      <c r="G17" s="4">
        <f>'Data Sheet'!G67</f>
        <v>2501.6999999999998</v>
      </c>
      <c r="H17" s="4">
        <f>'Data Sheet'!H67</f>
        <v>2461.9</v>
      </c>
      <c r="I17" s="4">
        <f>'Data Sheet'!I67</f>
        <v>2956.17</v>
      </c>
      <c r="J17" s="4">
        <f>'Data Sheet'!J67</f>
        <v>4025.82</v>
      </c>
      <c r="K17" s="4">
        <f>'Data Sheet'!K67</f>
        <v>4719.67</v>
      </c>
    </row>
    <row r="18" spans="1:11">
      <c r="A18" t="s">
        <v>45</v>
      </c>
      <c r="B18" s="4">
        <f>'Data Sheet'!B68</f>
        <v>9062.1</v>
      </c>
      <c r="C18" s="4">
        <f>'Data Sheet'!C68</f>
        <v>8116.1</v>
      </c>
      <c r="D18" s="4">
        <f>'Data Sheet'!D68</f>
        <v>7495.09</v>
      </c>
      <c r="E18" s="4">
        <f>'Data Sheet'!E68</f>
        <v>7859.56</v>
      </c>
      <c r="F18" s="4">
        <f>'Data Sheet'!F68</f>
        <v>8879.33</v>
      </c>
      <c r="G18" s="4">
        <f>'Data Sheet'!G68</f>
        <v>10397.16</v>
      </c>
      <c r="H18" s="4">
        <f>'Data Sheet'!H68</f>
        <v>10864.15</v>
      </c>
      <c r="I18" s="4">
        <f>'Data Sheet'!I68</f>
        <v>11771.16</v>
      </c>
      <c r="J18" s="4">
        <f>'Data Sheet'!J68</f>
        <v>14152.88</v>
      </c>
      <c r="K18" s="4">
        <f>'Data Sheet'!K68</f>
        <v>15637.56</v>
      </c>
    </row>
    <row r="20" spans="1:11">
      <c r="A20" t="s">
        <v>46</v>
      </c>
      <c r="B20" s="4">
        <f>IF('Profit &amp; Loss'!B4&gt;0,'Balance Sheet'!B17/('Profit &amp; Loss'!B4/365),0)</f>
        <v>17.854891674597688</v>
      </c>
      <c r="C20" s="4">
        <f>IF('Profit &amp; Loss'!C4&gt;0,'Balance Sheet'!C17/('Profit &amp; Loss'!C4/365),0)</f>
        <v>21.116823249375695</v>
      </c>
      <c r="D20" s="4">
        <f>IF('Profit &amp; Loss'!D4&gt;0,'Balance Sheet'!D17/('Profit &amp; Loss'!D4/365),0)</f>
        <v>22.533020368275956</v>
      </c>
      <c r="E20" s="4">
        <f>IF('Profit &amp; Loss'!E4&gt;0,'Balance Sheet'!E17/('Profit &amp; Loss'!E4/365),0)</f>
        <v>30.469383474163411</v>
      </c>
      <c r="F20" s="4">
        <f>IF('Profit &amp; Loss'!F4&gt;0,'Balance Sheet'!F17/('Profit &amp; Loss'!F4/365),0)</f>
        <v>18.938018980434403</v>
      </c>
      <c r="G20" s="4">
        <f>IF('Profit &amp; Loss'!G4&gt;0,'Balance Sheet'!G17/('Profit &amp; Loss'!G4/365),0)</f>
        <v>18.537713584442557</v>
      </c>
      <c r="H20" s="4">
        <f>IF('Profit &amp; Loss'!H4&gt;0,'Balance Sheet'!H17/('Profit &amp; Loss'!H4/365),0)</f>
        <v>14.817385044061677</v>
      </c>
      <c r="I20" s="4">
        <f>IF('Profit &amp; Loss'!I4&gt;0,'Balance Sheet'!I17/('Profit &amp; Loss'!I4/365),0)</f>
        <v>15.214563002342249</v>
      </c>
      <c r="J20" s="4">
        <f>IF('Profit &amp; Loss'!J4&gt;0,'Balance Sheet'!J17/('Profit &amp; Loss'!J4/365),0)</f>
        <v>21.630830799179297</v>
      </c>
      <c r="K20" s="4">
        <f>IF('Profit &amp; Loss'!K4&gt;0,'Balance Sheet'!K17/('Profit &amp; Loss'!K4/365),0)</f>
        <v>22.870461532906003</v>
      </c>
    </row>
    <row r="21" spans="1:11">
      <c r="A21" t="s">
        <v>47</v>
      </c>
      <c r="B21" s="4">
        <f>IF('Balance Sheet'!B18&gt;0,'Profit &amp; Loss'!B4/'Balance Sheet'!B18,0)</f>
        <v>4.3248364065724276</v>
      </c>
      <c r="C21" s="4">
        <f>IF('Balance Sheet'!C18&gt;0,'Profit &amp; Loss'!C4/'Balance Sheet'!C18,0)</f>
        <v>5.2694767191138601</v>
      </c>
      <c r="D21" s="4">
        <f>IF('Balance Sheet'!D18&gt;0,'Profit &amp; Loss'!D4/'Balance Sheet'!D18,0)</f>
        <v>5.7969870942176813</v>
      </c>
      <c r="E21" s="4">
        <f>IF('Balance Sheet'!E18&gt;0,'Profit &amp; Loss'!E4/'Balance Sheet'!E18,0)</f>
        <v>6.1504180895622653</v>
      </c>
      <c r="F21" s="4">
        <f>IF('Balance Sheet'!F18&gt;0,'Profit &amp; Loss'!F4/'Balance Sheet'!F18,0)</f>
        <v>5.5620975906965953</v>
      </c>
      <c r="G21" s="4">
        <f>IF('Balance Sheet'!G18&gt;0,'Profit &amp; Loss'!G4/'Balance Sheet'!G18,0)</f>
        <v>4.7375869949101483</v>
      </c>
      <c r="H21" s="4">
        <f>IF('Balance Sheet'!H18&gt;0,'Profit &amp; Loss'!H4/'Balance Sheet'!H18,0)</f>
        <v>5.5820786715941884</v>
      </c>
      <c r="I21" s="4">
        <f>IF('Balance Sheet'!I18&gt;0,'Profit &amp; Loss'!I4/'Balance Sheet'!I18,0)</f>
        <v>6.0248123379514</v>
      </c>
      <c r="J21" s="4">
        <f>IF('Balance Sheet'!J18&gt;0,'Profit &amp; Loss'!J4/'Balance Sheet'!J18,0)</f>
        <v>4.7998668822176125</v>
      </c>
      <c r="K21" s="4">
        <f>IF('Balance Sheet'!K18&gt;0,'Profit &amp; Loss'!K4/'Balance Sheet'!K18,0)</f>
        <v>4.8168218059594974</v>
      </c>
    </row>
    <row r="23" spans="1:11" s="2" customFormat="1">
      <c r="A23" s="2" t="s">
        <v>59</v>
      </c>
      <c r="B23" s="10">
        <f>IF(SUM('Balance Sheet'!B4:B5)&gt;0,'Profit &amp; Loss'!B12/SUM('Balance Sheet'!B4:B5),"")</f>
        <v>0.21894458981731754</v>
      </c>
      <c r="C23" s="10">
        <f>IF(SUM('Balance Sheet'!C4:C5)&gt;0,'Profit &amp; Loss'!C12/SUM('Balance Sheet'!C4:C5),"")</f>
        <v>0.2216933944915781</v>
      </c>
      <c r="D23" s="10">
        <f>IF(SUM('Balance Sheet'!D4:D5)&gt;0,'Profit &amp; Loss'!D12/SUM('Balance Sheet'!D4:D5),"")</f>
        <v>0.21464818870118538</v>
      </c>
      <c r="E23" s="10">
        <f>IF(SUM('Balance Sheet'!E4:E5)&gt;0,'Profit &amp; Loss'!E12/SUM('Balance Sheet'!E4:E5),"")</f>
        <v>0.21292094620860327</v>
      </c>
      <c r="F23" s="10">
        <f>IF(SUM('Balance Sheet'!F4:F5)&gt;0,'Profit &amp; Loss'!F12/SUM('Balance Sheet'!F4:F5),"")</f>
        <v>0.23449464604648212</v>
      </c>
      <c r="G23" s="10">
        <f>IF(SUM('Balance Sheet'!G4:G5)&gt;0,'Profit &amp; Loss'!G12/SUM('Balance Sheet'!G4:G5),"")</f>
        <v>0.21809063995198466</v>
      </c>
      <c r="H23" s="10">
        <f>IF(SUM('Balance Sheet'!H4:H5)&gt;0,'Profit &amp; Loss'!H12/SUM('Balance Sheet'!H4:H5),"")</f>
        <v>0.24405605456807136</v>
      </c>
      <c r="I23" s="10">
        <f>IF(SUM('Balance Sheet'!I4:I5)&gt;0,'Profit &amp; Loss'!I12/SUM('Balance Sheet'!I4:I5),"")</f>
        <v>0.2775155497933201</v>
      </c>
      <c r="J23" s="10">
        <f>IF(SUM('Balance Sheet'!J4:J5)&gt;0,'Profit &amp; Loss'!J12/SUM('Balance Sheet'!J4:J5),"")</f>
        <v>0.27458869636409999</v>
      </c>
      <c r="K23" s="10">
        <f>IF(SUM('Balance Sheet'!K4:K5)&gt;0,'Profit &amp; Loss'!K12/SUM('Balance Sheet'!K4:K5),"")</f>
        <v>0.49616743098141436</v>
      </c>
    </row>
    <row r="24" spans="1:11" s="2" customFormat="1">
      <c r="A24" s="2" t="s">
        <v>60</v>
      </c>
      <c r="B24" s="10"/>
      <c r="C24" s="10">
        <f>IF((B4+B5+B6+C4+C5+C6)&gt;0,('Profit &amp; Loss'!C10+'Profit &amp; Loss'!C9)*2/(B4+B5+B6+C4+C5+C6),"")</f>
        <v>0.36034518411668875</v>
      </c>
      <c r="D24" s="10">
        <f>IF((C4+C5+C6+D4+D5+D6)&gt;0,('Profit &amp; Loss'!D10+'Profit &amp; Loss'!D9)*2/(C4+C5+C6+D4+D5+D6),"")</f>
        <v>0.35400589143866729</v>
      </c>
      <c r="E24" s="10">
        <f>IF((D4+D5+D6+E4+E5+E6)&gt;0,('Profit &amp; Loss'!E10+'Profit &amp; Loss'!E9)*2/(D4+D5+D6+E4+E5+E6),"")</f>
        <v>0.34415687544012852</v>
      </c>
      <c r="F24" s="10">
        <f>IF((E4+E5+E6+F4+F5+F6)&gt;0,('Profit &amp; Loss'!F10+'Profit &amp; Loss'!F9)*2/(E4+E5+E6+F4+F5+F6),"")</f>
        <v>0.32261652337652486</v>
      </c>
      <c r="G24" s="10">
        <f>IF((F4+F5+F6+G4+G5+G6)&gt;0,('Profit &amp; Loss'!G10+'Profit &amp; Loss'!G9)*2/(F4+F5+F6+G4+G5+G6),"")</f>
        <v>0.28527066262298589</v>
      </c>
      <c r="H24" s="10">
        <f>IF((G4+G5+G6+H4+H5+H6)&gt;0,('Profit &amp; Loss'!H10+'Profit &amp; Loss'!H9)*2/(G4+G5+G6+H4+H5+H6),"")</f>
        <v>0.33733252742915004</v>
      </c>
      <c r="I24" s="10">
        <f>IF((H4+H5+H6+I4+I5+I6)&gt;0,('Profit &amp; Loss'!I10+'Profit &amp; Loss'!I9)*2/(H4+H5+H6+I4+I5+I6),"")</f>
        <v>0.39333609298769096</v>
      </c>
      <c r="J24" s="10">
        <f>IF((I4+I5+I6+J4+J5+J6)&gt;0,('Profit &amp; Loss'!J10+'Profit &amp; Loss'!J9)*2/(I4+I5+I6+J4+J5+J6),"")</f>
        <v>0.3742927321936183</v>
      </c>
      <c r="K24" s="10">
        <f>IF((J4+J5+J6+K4+K5+K6)&gt;0,('Profit &amp; Loss'!K10+'Profit &amp; Loss'!K9)*2/(J4+J5+J6+K4+K5+K6),"")</f>
        <v>0.57864605289976878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scale="74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>
      <c r="A1" s="2" t="str">
        <f>'Balance Sheet'!A1</f>
        <v>ITC LTD</v>
      </c>
      <c r="E1" t="str">
        <f>UPDATE</f>
        <v/>
      </c>
      <c r="F1"/>
      <c r="J1" s="2" t="s">
        <v>1</v>
      </c>
    </row>
    <row r="3" spans="1:11" s="2" customFormat="1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>
      <c r="A4" s="2" t="s">
        <v>32</v>
      </c>
      <c r="B4" s="1">
        <f>'Data Sheet'!B82</f>
        <v>9799.0400000000009</v>
      </c>
      <c r="C4" s="1">
        <f>'Data Sheet'!C82</f>
        <v>10627.31</v>
      </c>
      <c r="D4" s="1">
        <f>'Data Sheet'!D82</f>
        <v>13169.4</v>
      </c>
      <c r="E4" s="1">
        <f>'Data Sheet'!E82</f>
        <v>12583.41</v>
      </c>
      <c r="F4" s="1">
        <f>'Data Sheet'!F82</f>
        <v>14689.66</v>
      </c>
      <c r="G4" s="1">
        <f>'Data Sheet'!G82</f>
        <v>12526.97</v>
      </c>
      <c r="H4" s="1">
        <f>'Data Sheet'!H82</f>
        <v>15775.51</v>
      </c>
      <c r="I4" s="1">
        <f>'Data Sheet'!I82</f>
        <v>18877.55</v>
      </c>
      <c r="J4" s="1">
        <f>'Data Sheet'!J82</f>
        <v>17178.86</v>
      </c>
      <c r="K4" s="1">
        <f>'Data Sheet'!K82</f>
        <v>17627.04</v>
      </c>
    </row>
    <row r="5" spans="1:11">
      <c r="A5" t="s">
        <v>33</v>
      </c>
      <c r="B5" s="6">
        <f>'Data Sheet'!B83</f>
        <v>-3920.73</v>
      </c>
      <c r="C5" s="6">
        <f>'Data Sheet'!C83</f>
        <v>-3250.93</v>
      </c>
      <c r="D5" s="6">
        <f>'Data Sheet'!D83</f>
        <v>-7113.89</v>
      </c>
      <c r="E5" s="6">
        <f>'Data Sheet'!E83</f>
        <v>-5545.68</v>
      </c>
      <c r="F5" s="6">
        <f>'Data Sheet'!F83</f>
        <v>-6174.02</v>
      </c>
      <c r="G5" s="6">
        <f>'Data Sheet'!G83</f>
        <v>5739.98</v>
      </c>
      <c r="H5" s="6">
        <f>'Data Sheet'!H83</f>
        <v>-2238.4899999999998</v>
      </c>
      <c r="I5" s="6">
        <f>'Data Sheet'!I83</f>
        <v>-5732.29</v>
      </c>
      <c r="J5" s="6">
        <f>'Data Sheet'!J83</f>
        <v>1562.77</v>
      </c>
      <c r="K5" s="6">
        <f>'Data Sheet'!K83</f>
        <v>-563.84</v>
      </c>
    </row>
    <row r="6" spans="1:11">
      <c r="A6" t="s">
        <v>34</v>
      </c>
      <c r="B6" s="6">
        <f>'Data Sheet'!B84</f>
        <v>-5612.52</v>
      </c>
      <c r="C6" s="6">
        <f>'Data Sheet'!C84</f>
        <v>-7301.03</v>
      </c>
      <c r="D6" s="6">
        <f>'Data Sheet'!D84</f>
        <v>-6221.13</v>
      </c>
      <c r="E6" s="6">
        <f>'Data Sheet'!E84</f>
        <v>-6868.64</v>
      </c>
      <c r="F6" s="6">
        <f>'Data Sheet'!F84</f>
        <v>-8181.48</v>
      </c>
      <c r="G6" s="6">
        <f>'Data Sheet'!G84</f>
        <v>-18633.830000000002</v>
      </c>
      <c r="H6" s="6">
        <f>'Data Sheet'!H84</f>
        <v>-13580.5</v>
      </c>
      <c r="I6" s="6">
        <f>'Data Sheet'!I84</f>
        <v>-13006.03</v>
      </c>
      <c r="J6" s="6">
        <f>'Data Sheet'!J84</f>
        <v>-18550.96</v>
      </c>
      <c r="K6" s="6">
        <f>'Data Sheet'!K84</f>
        <v>-17037.400000000001</v>
      </c>
    </row>
    <row r="7" spans="1:11" s="2" customFormat="1">
      <c r="A7" s="2" t="s">
        <v>35</v>
      </c>
      <c r="B7" s="1">
        <f>'Data Sheet'!B85</f>
        <v>265.79000000000002</v>
      </c>
      <c r="C7" s="1">
        <f>'Data Sheet'!C85</f>
        <v>75.349999999999994</v>
      </c>
      <c r="D7" s="1">
        <f>'Data Sheet'!D85</f>
        <v>-165.62</v>
      </c>
      <c r="E7" s="1">
        <f>'Data Sheet'!E85</f>
        <v>169.09</v>
      </c>
      <c r="F7" s="1">
        <f>'Data Sheet'!F85</f>
        <v>334.16</v>
      </c>
      <c r="G7" s="1">
        <f>'Data Sheet'!G85</f>
        <v>-366.88</v>
      </c>
      <c r="H7" s="1">
        <f>'Data Sheet'!H85</f>
        <v>-43.48</v>
      </c>
      <c r="I7" s="1">
        <f>'Data Sheet'!I85</f>
        <v>139.22999999999999</v>
      </c>
      <c r="J7" s="1">
        <f>'Data Sheet'!J85</f>
        <v>190.67</v>
      </c>
      <c r="K7" s="1">
        <f>'Data Sheet'!K85</f>
        <v>25.8</v>
      </c>
    </row>
    <row r="8" spans="1:11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scale="81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>
      <c r="A1" s="19" t="s">
        <v>56</v>
      </c>
    </row>
    <row r="3" spans="1:7">
      <c r="A3" s="2" t="s">
        <v>48</v>
      </c>
    </row>
    <row r="4" spans="1:7">
      <c r="B4" t="s">
        <v>90</v>
      </c>
    </row>
    <row r="5" spans="1:7">
      <c r="B5" t="s">
        <v>49</v>
      </c>
    </row>
    <row r="7" spans="1:7">
      <c r="A7" s="2" t="s">
        <v>50</v>
      </c>
    </row>
    <row r="8" spans="1:7">
      <c r="B8" t="s">
        <v>51</v>
      </c>
      <c r="C8" s="21" t="s">
        <v>91</v>
      </c>
    </row>
    <row r="10" spans="1:7">
      <c r="A10" s="2" t="s">
        <v>52</v>
      </c>
    </row>
    <row r="11" spans="1:7">
      <c r="B11" t="s">
        <v>53</v>
      </c>
    </row>
    <row r="14" spans="1:7">
      <c r="A14" s="2" t="s">
        <v>54</v>
      </c>
    </row>
    <row r="15" spans="1:7">
      <c r="B15" t="s">
        <v>55</v>
      </c>
    </row>
    <row r="16" spans="1:7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K93"/>
  <sheetViews>
    <sheetView zoomScale="108" zoomScaleNormal="120" zoomScalePageLayoutView="120" workbookViewId="0">
      <pane xSplit="1" ySplit="1" topLeftCell="B52" activePane="bottomRight" state="frozen"/>
      <selection activeCell="C4" sqref="C4"/>
      <selection pane="topRight" activeCell="C4" sqref="C4"/>
      <selection pane="bottomLeft" activeCell="C4" sqref="C4"/>
      <selection pane="bottomRight" activeCell="K69" sqref="K69"/>
    </sheetView>
  </sheetViews>
  <sheetFormatPr defaultColWidth="8.85546875" defaultRowHeight="1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>
      <c r="A1" s="1" t="s">
        <v>0</v>
      </c>
      <c r="B1" s="1" t="s">
        <v>63</v>
      </c>
      <c r="E1" s="61" t="str">
        <f>IF(B2&lt;&gt;B3, "A NEW VERSION OF THE WORKSHEET IS AVAILABLE", "")</f>
        <v/>
      </c>
      <c r="F1" s="61"/>
      <c r="G1" s="61"/>
      <c r="H1" s="61"/>
      <c r="I1" s="61"/>
      <c r="J1" s="61"/>
      <c r="K1" s="61"/>
    </row>
    <row r="2" spans="1:11">
      <c r="A2" s="1" t="s">
        <v>61</v>
      </c>
      <c r="B2" s="4">
        <v>2.1</v>
      </c>
      <c r="E2" s="62" t="s">
        <v>36</v>
      </c>
      <c r="F2" s="62"/>
      <c r="G2" s="62"/>
      <c r="H2" s="62"/>
      <c r="I2" s="62"/>
      <c r="J2" s="62"/>
      <c r="K2" s="62"/>
    </row>
    <row r="3" spans="1:11">
      <c r="A3" s="1" t="s">
        <v>62</v>
      </c>
      <c r="B3" s="4">
        <v>2.1</v>
      </c>
    </row>
    <row r="4" spans="1:11">
      <c r="A4" s="1"/>
    </row>
    <row r="5" spans="1:11">
      <c r="A5" s="1" t="s">
        <v>64</v>
      </c>
    </row>
    <row r="6" spans="1:11">
      <c r="A6" s="4" t="s">
        <v>42</v>
      </c>
      <c r="B6" s="4">
        <f>IF(B9&gt;0, B9/B8, 0)</f>
        <v>1252.9229256299939</v>
      </c>
    </row>
    <row r="7" spans="1:11">
      <c r="A7" s="4" t="s">
        <v>31</v>
      </c>
      <c r="B7">
        <v>1</v>
      </c>
    </row>
    <row r="8" spans="1:11">
      <c r="A8" s="4" t="s">
        <v>43</v>
      </c>
      <c r="B8">
        <v>325.39999999999998</v>
      </c>
    </row>
    <row r="9" spans="1:11">
      <c r="A9" s="4" t="s">
        <v>79</v>
      </c>
      <c r="B9">
        <v>407701.12</v>
      </c>
    </row>
    <row r="15" spans="1:11">
      <c r="A15" s="1" t="s">
        <v>37</v>
      </c>
    </row>
    <row r="16" spans="1:11" s="18" customFormat="1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>
      <c r="A17" s="6" t="s">
        <v>6</v>
      </c>
      <c r="B17">
        <v>39192.1</v>
      </c>
      <c r="C17">
        <v>42767.6</v>
      </c>
      <c r="D17">
        <v>43448.94</v>
      </c>
      <c r="E17">
        <v>48339.58</v>
      </c>
      <c r="F17">
        <v>49387.7</v>
      </c>
      <c r="G17">
        <v>49257.45</v>
      </c>
      <c r="H17">
        <v>60644.54</v>
      </c>
      <c r="I17">
        <v>70919.03</v>
      </c>
      <c r="J17">
        <v>67931.94</v>
      </c>
      <c r="K17">
        <v>75323.34</v>
      </c>
    </row>
    <row r="18" spans="1:11" s="6" customFormat="1">
      <c r="A18" s="4" t="s">
        <v>80</v>
      </c>
      <c r="B18">
        <v>13763.88</v>
      </c>
      <c r="C18">
        <v>15456.59</v>
      </c>
      <c r="D18">
        <v>14827.72</v>
      </c>
      <c r="E18">
        <v>17623.52</v>
      </c>
      <c r="F18">
        <v>18048.599999999999</v>
      </c>
      <c r="G18">
        <v>20776.71</v>
      </c>
      <c r="H18">
        <v>27071.07</v>
      </c>
      <c r="I18">
        <v>29364.36</v>
      </c>
      <c r="J18">
        <v>27348.57</v>
      </c>
      <c r="K18">
        <v>32704.37</v>
      </c>
    </row>
    <row r="19" spans="1:11" s="6" customFormat="1">
      <c r="A19" s="4" t="s">
        <v>81</v>
      </c>
      <c r="B19">
        <v>195.38</v>
      </c>
      <c r="C19">
        <v>-592.57000000000005</v>
      </c>
      <c r="D19">
        <v>-1027.76</v>
      </c>
      <c r="E19">
        <v>203.19</v>
      </c>
      <c r="F19">
        <v>703.13</v>
      </c>
      <c r="G19">
        <v>645.27</v>
      </c>
      <c r="H19">
        <v>686</v>
      </c>
      <c r="I19">
        <v>358.59</v>
      </c>
      <c r="J19">
        <v>367.77</v>
      </c>
      <c r="K19">
        <v>725.65</v>
      </c>
    </row>
    <row r="20" spans="1:11" s="6" customFormat="1">
      <c r="A20" s="4" t="s">
        <v>82</v>
      </c>
      <c r="B20">
        <v>571.88</v>
      </c>
      <c r="C20">
        <v>584.33000000000004</v>
      </c>
      <c r="D20">
        <v>653.5</v>
      </c>
      <c r="E20">
        <v>746.73</v>
      </c>
      <c r="F20">
        <v>780.85</v>
      </c>
      <c r="G20">
        <v>699.56</v>
      </c>
      <c r="H20">
        <v>889.77</v>
      </c>
      <c r="I20">
        <v>1232.3399999999999</v>
      </c>
      <c r="J20">
        <v>952.9</v>
      </c>
      <c r="K20">
        <v>975.35</v>
      </c>
    </row>
    <row r="21" spans="1:11" s="6" customFormat="1">
      <c r="A21" s="4" t="s">
        <v>83</v>
      </c>
      <c r="B21">
        <v>1581.59</v>
      </c>
      <c r="C21">
        <v>1683.9</v>
      </c>
      <c r="D21">
        <v>1697.62</v>
      </c>
      <c r="E21">
        <v>1871.01</v>
      </c>
      <c r="F21">
        <v>1908.29</v>
      </c>
      <c r="G21">
        <v>1587.18</v>
      </c>
      <c r="H21">
        <v>1887.67</v>
      </c>
      <c r="I21">
        <v>2327.8000000000002</v>
      </c>
      <c r="J21">
        <v>2183.7600000000002</v>
      </c>
      <c r="K21">
        <v>2345.36</v>
      </c>
    </row>
    <row r="22" spans="1:11" s="6" customFormat="1">
      <c r="A22" s="4" t="s">
        <v>84</v>
      </c>
      <c r="B22">
        <v>3440.97</v>
      </c>
      <c r="C22">
        <v>3631.73</v>
      </c>
      <c r="D22">
        <v>3760.9</v>
      </c>
      <c r="E22">
        <v>4177.88</v>
      </c>
      <c r="F22">
        <v>4295.79</v>
      </c>
      <c r="G22">
        <v>4463.33</v>
      </c>
      <c r="H22">
        <v>4890.55</v>
      </c>
      <c r="I22">
        <v>5736.22</v>
      </c>
      <c r="J22">
        <v>5548.53</v>
      </c>
      <c r="K22">
        <v>6169.78</v>
      </c>
    </row>
    <row r="23" spans="1:11" s="6" customFormat="1">
      <c r="A23" s="4" t="s">
        <v>85</v>
      </c>
      <c r="B23">
        <v>4261.78</v>
      </c>
      <c r="C23">
        <v>4179.74</v>
      </c>
      <c r="D23">
        <v>3954.87</v>
      </c>
      <c r="E23">
        <v>4546.3900000000003</v>
      </c>
      <c r="F23">
        <v>4488.63</v>
      </c>
      <c r="G23">
        <v>4236.7700000000004</v>
      </c>
      <c r="H23">
        <v>4858.38</v>
      </c>
      <c r="I23">
        <v>5604.08</v>
      </c>
      <c r="J23">
        <v>5312.45</v>
      </c>
      <c r="K23">
        <v>5793.29</v>
      </c>
    </row>
    <row r="24" spans="1:11" s="6" customFormat="1">
      <c r="A24" s="4" t="s">
        <v>86</v>
      </c>
      <c r="B24">
        <v>1235.8900000000001</v>
      </c>
      <c r="C24">
        <v>1169.23</v>
      </c>
      <c r="D24">
        <v>1005.98</v>
      </c>
      <c r="E24">
        <v>1039.8499999999999</v>
      </c>
      <c r="F24">
        <v>1225.1300000000001</v>
      </c>
      <c r="G24">
        <v>1074.3900000000001</v>
      </c>
      <c r="H24">
        <v>1109.95</v>
      </c>
      <c r="I24">
        <v>1308.56</v>
      </c>
      <c r="J24">
        <v>1765.97</v>
      </c>
      <c r="K24">
        <v>2221.39</v>
      </c>
    </row>
    <row r="25" spans="1:11" s="6" customFormat="1">
      <c r="A25" s="6" t="s">
        <v>9</v>
      </c>
      <c r="B25">
        <v>1483.11</v>
      </c>
      <c r="C25">
        <v>1758.63</v>
      </c>
      <c r="D25">
        <v>2239.81</v>
      </c>
      <c r="E25">
        <v>2080.44</v>
      </c>
      <c r="F25">
        <v>2417.3200000000002</v>
      </c>
      <c r="G25">
        <v>2576.9499999999998</v>
      </c>
      <c r="H25">
        <v>1909.72</v>
      </c>
      <c r="I25">
        <v>2097.64</v>
      </c>
      <c r="J25">
        <v>3330.45</v>
      </c>
      <c r="K25">
        <v>17794.88</v>
      </c>
    </row>
    <row r="26" spans="1:11" s="6" customFormat="1">
      <c r="A26" s="6" t="s">
        <v>10</v>
      </c>
      <c r="B26">
        <v>1077.4000000000001</v>
      </c>
      <c r="C26">
        <v>1152.79</v>
      </c>
      <c r="D26">
        <v>1236.28</v>
      </c>
      <c r="E26">
        <v>1396.61</v>
      </c>
      <c r="F26">
        <v>1644.91</v>
      </c>
      <c r="G26">
        <v>1645.59</v>
      </c>
      <c r="H26">
        <v>1732.41</v>
      </c>
      <c r="I26">
        <v>1809.01</v>
      </c>
      <c r="J26">
        <v>1518.05</v>
      </c>
      <c r="K26">
        <v>1646.32</v>
      </c>
    </row>
    <row r="27" spans="1:11" s="6" customFormat="1">
      <c r="A27" s="6" t="s">
        <v>11</v>
      </c>
      <c r="B27">
        <v>78.13</v>
      </c>
      <c r="C27">
        <v>49.03</v>
      </c>
      <c r="D27">
        <v>115.01</v>
      </c>
      <c r="E27">
        <v>71.400000000000006</v>
      </c>
      <c r="F27">
        <v>81.38</v>
      </c>
      <c r="G27">
        <v>57.97</v>
      </c>
      <c r="H27">
        <v>59.99</v>
      </c>
      <c r="I27">
        <v>77.77</v>
      </c>
      <c r="J27">
        <v>39.11</v>
      </c>
      <c r="K27">
        <v>45.06</v>
      </c>
    </row>
    <row r="28" spans="1:11" s="6" customFormat="1">
      <c r="A28" s="6" t="s">
        <v>12</v>
      </c>
      <c r="B28">
        <v>14859.07</v>
      </c>
      <c r="C28">
        <v>16026.32</v>
      </c>
      <c r="D28">
        <v>17409.11</v>
      </c>
      <c r="E28">
        <v>19149.82</v>
      </c>
      <c r="F28">
        <v>20034.57</v>
      </c>
      <c r="G28">
        <v>17938.169999999998</v>
      </c>
      <c r="H28">
        <v>20740.47</v>
      </c>
      <c r="I28">
        <v>25915.119999999999</v>
      </c>
      <c r="J28">
        <v>26960.82</v>
      </c>
      <c r="K28">
        <v>41942.949999999997</v>
      </c>
    </row>
    <row r="29" spans="1:11" s="6" customFormat="1">
      <c r="A29" s="6" t="s">
        <v>13</v>
      </c>
      <c r="B29">
        <v>5358.21</v>
      </c>
      <c r="C29">
        <v>5549.09</v>
      </c>
      <c r="D29">
        <v>5916.43</v>
      </c>
      <c r="E29">
        <v>6313.92</v>
      </c>
      <c r="F29">
        <v>4441.79</v>
      </c>
      <c r="G29">
        <v>4555.29</v>
      </c>
      <c r="H29">
        <v>5237.34</v>
      </c>
      <c r="I29">
        <v>6438.4</v>
      </c>
      <c r="J29">
        <v>6209.46</v>
      </c>
      <c r="K29">
        <v>6890.47</v>
      </c>
    </row>
    <row r="30" spans="1:11" s="6" customFormat="1">
      <c r="A30" s="6" t="s">
        <v>14</v>
      </c>
      <c r="B30">
        <v>9344.4500000000007</v>
      </c>
      <c r="C30">
        <v>10289.44</v>
      </c>
      <c r="D30">
        <v>11271.2</v>
      </c>
      <c r="E30">
        <v>12592.33</v>
      </c>
      <c r="F30">
        <v>15306.23</v>
      </c>
      <c r="G30">
        <v>13161.19</v>
      </c>
      <c r="H30">
        <v>15242.66</v>
      </c>
      <c r="I30">
        <v>19191.66</v>
      </c>
      <c r="J30">
        <v>20458.78</v>
      </c>
      <c r="K30">
        <v>34746.629999999997</v>
      </c>
    </row>
    <row r="31" spans="1:11" s="6" customFormat="1">
      <c r="A31" s="6" t="s">
        <v>70</v>
      </c>
      <c r="B31">
        <v>6840.12</v>
      </c>
      <c r="C31">
        <v>5770.02</v>
      </c>
      <c r="D31">
        <v>6285.21</v>
      </c>
      <c r="E31">
        <v>7048.7</v>
      </c>
      <c r="F31">
        <v>12476.58</v>
      </c>
      <c r="G31">
        <v>13231.96</v>
      </c>
      <c r="H31">
        <v>14171.8</v>
      </c>
      <c r="I31">
        <v>19263.400000000001</v>
      </c>
      <c r="J31">
        <v>17166.46</v>
      </c>
      <c r="K31">
        <v>17957.73</v>
      </c>
    </row>
    <row r="32" spans="1:11" s="6" customFormat="1"/>
    <row r="33" spans="1:11">
      <c r="A33" s="6"/>
    </row>
    <row r="34" spans="1:11">
      <c r="A34" s="1" t="s">
        <v>97</v>
      </c>
      <c r="C34" s="29">
        <f>C17/B17-1</f>
        <v>9.1230120355888067E-2</v>
      </c>
      <c r="D34" s="29">
        <f t="shared" ref="D34:K34" si="0">D17/C17-1</f>
        <v>1.5931218960147486E-2</v>
      </c>
      <c r="E34" s="29">
        <f t="shared" si="0"/>
        <v>0.11256062863673999</v>
      </c>
      <c r="F34" s="29">
        <f t="shared" si="0"/>
        <v>2.1682439110972673E-2</v>
      </c>
      <c r="G34" s="29">
        <f t="shared" si="0"/>
        <v>-2.6372963308678443E-3</v>
      </c>
      <c r="H34" s="29">
        <f t="shared" si="0"/>
        <v>0.23117497962237188</v>
      </c>
      <c r="I34" s="29">
        <f t="shared" si="0"/>
        <v>0.1694215175842706</v>
      </c>
      <c r="J34" s="29">
        <f t="shared" si="0"/>
        <v>-4.2119724423754779E-2</v>
      </c>
      <c r="K34" s="29">
        <f t="shared" si="0"/>
        <v>0.10880596078957838</v>
      </c>
    </row>
    <row r="35" spans="1:11">
      <c r="A35" s="1" t="s">
        <v>122</v>
      </c>
      <c r="B35" s="4">
        <f>B57+B58</f>
        <v>42679.520000000004</v>
      </c>
      <c r="C35" s="4">
        <f t="shared" ref="C35:K35" si="1">C57+C58</f>
        <v>46412.93</v>
      </c>
      <c r="D35" s="4">
        <f t="shared" si="1"/>
        <v>52510.11</v>
      </c>
      <c r="E35" s="4">
        <f t="shared" si="1"/>
        <v>59140.87</v>
      </c>
      <c r="F35" s="4">
        <f t="shared" si="1"/>
        <v>65273.26</v>
      </c>
      <c r="G35" s="4">
        <f t="shared" si="1"/>
        <v>60347.34</v>
      </c>
      <c r="H35" s="4">
        <f t="shared" si="1"/>
        <v>62455.57</v>
      </c>
      <c r="I35" s="4">
        <f t="shared" si="1"/>
        <v>69155.260000000009</v>
      </c>
      <c r="J35" s="4">
        <f t="shared" si="1"/>
        <v>74507</v>
      </c>
      <c r="K35" s="4">
        <f t="shared" si="1"/>
        <v>70030.05</v>
      </c>
    </row>
    <row r="36" spans="1:11">
      <c r="A36" s="1" t="s">
        <v>99</v>
      </c>
      <c r="B36" s="4">
        <f>B17-B18-B19-B20-B21</f>
        <v>23079.37</v>
      </c>
      <c r="C36" s="4">
        <f t="shared" ref="C36:K36" si="2">C17-C18-C19-C20-C21</f>
        <v>25635.349999999995</v>
      </c>
      <c r="D36" s="4">
        <f t="shared" si="2"/>
        <v>27297.86</v>
      </c>
      <c r="E36" s="4">
        <f t="shared" si="2"/>
        <v>27895.130000000005</v>
      </c>
      <c r="F36" s="4">
        <f t="shared" si="2"/>
        <v>27946.829999999998</v>
      </c>
      <c r="G36" s="4">
        <f t="shared" si="2"/>
        <v>25548.729999999996</v>
      </c>
      <c r="H36" s="4">
        <f t="shared" si="2"/>
        <v>30110.03</v>
      </c>
      <c r="I36" s="4">
        <f t="shared" si="2"/>
        <v>37635.94</v>
      </c>
      <c r="J36" s="4">
        <f t="shared" si="2"/>
        <v>37078.94</v>
      </c>
      <c r="K36" s="4">
        <f t="shared" si="2"/>
        <v>38572.61</v>
      </c>
    </row>
    <row r="37" spans="1:11">
      <c r="A37" s="1" t="s">
        <v>100</v>
      </c>
      <c r="B37" s="29">
        <f>B36/B17</f>
        <v>0.58887811574271343</v>
      </c>
      <c r="C37" s="29">
        <f t="shared" ref="C37:K37" si="3">C36/C17</f>
        <v>0.59941053507795616</v>
      </c>
      <c r="D37" s="29">
        <f t="shared" si="3"/>
        <v>0.62827447574095019</v>
      </c>
      <c r="E37" s="29">
        <f t="shared" si="3"/>
        <v>0.57706603987870819</v>
      </c>
      <c r="F37" s="29">
        <f t="shared" si="3"/>
        <v>0.565866197454022</v>
      </c>
      <c r="G37" s="29">
        <f t="shared" si="3"/>
        <v>0.51867747924425645</v>
      </c>
      <c r="H37" s="29">
        <f t="shared" si="3"/>
        <v>0.49650026201864172</v>
      </c>
      <c r="I37" s="29">
        <f t="shared" si="3"/>
        <v>0.53068887152009836</v>
      </c>
      <c r="J37" s="29">
        <f t="shared" si="3"/>
        <v>0.54582483585777175</v>
      </c>
      <c r="K37" s="29">
        <f t="shared" si="3"/>
        <v>0.51209372818571242</v>
      </c>
    </row>
    <row r="38" spans="1:11">
      <c r="A38" s="6"/>
    </row>
    <row r="39" spans="1:11">
      <c r="A39" s="6"/>
    </row>
    <row r="40" spans="1:11">
      <c r="A40" s="1" t="s">
        <v>39</v>
      </c>
    </row>
    <row r="41" spans="1:11" s="18" customFormat="1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>
      <c r="A42" s="6" t="s">
        <v>6</v>
      </c>
      <c r="B42">
        <v>17774.47</v>
      </c>
      <c r="C42">
        <v>17195.240000000002</v>
      </c>
      <c r="D42">
        <v>17037.8</v>
      </c>
      <c r="E42">
        <v>17777.810000000001</v>
      </c>
      <c r="F42">
        <v>19990.36</v>
      </c>
      <c r="G42">
        <v>18790.169999999998</v>
      </c>
      <c r="H42">
        <v>18765</v>
      </c>
      <c r="I42">
        <v>21494.79</v>
      </c>
      <c r="J42">
        <v>19501.63</v>
      </c>
      <c r="K42">
        <v>20047.3</v>
      </c>
    </row>
    <row r="43" spans="1:11" s="6" customFormat="1">
      <c r="A43" s="6" t="s">
        <v>7</v>
      </c>
      <c r="B43">
        <v>11320.23</v>
      </c>
      <c r="C43">
        <v>10985.01</v>
      </c>
      <c r="D43">
        <v>10735.73</v>
      </c>
      <c r="E43">
        <v>11232.97</v>
      </c>
      <c r="F43">
        <v>13438.28</v>
      </c>
      <c r="G43">
        <v>12428.27</v>
      </c>
      <c r="H43">
        <v>12245.61</v>
      </c>
      <c r="I43">
        <v>14678.32</v>
      </c>
      <c r="J43">
        <v>12806.94</v>
      </c>
      <c r="K43">
        <v>13164.78</v>
      </c>
    </row>
    <row r="44" spans="1:11" s="6" customFormat="1">
      <c r="A44" s="6" t="s">
        <v>9</v>
      </c>
      <c r="B44">
        <v>673.5</v>
      </c>
      <c r="C44">
        <v>820.26</v>
      </c>
      <c r="D44">
        <v>868</v>
      </c>
      <c r="E44">
        <v>771.13</v>
      </c>
      <c r="F44">
        <v>690.31</v>
      </c>
      <c r="G44">
        <v>803.4</v>
      </c>
      <c r="H44">
        <v>15391.28</v>
      </c>
      <c r="I44">
        <v>750.97</v>
      </c>
      <c r="J44">
        <v>738.84</v>
      </c>
      <c r="K44">
        <v>321.85000000000002</v>
      </c>
    </row>
    <row r="45" spans="1:11" s="6" customFormat="1">
      <c r="A45" s="6" t="s">
        <v>10</v>
      </c>
      <c r="B45">
        <v>453.04</v>
      </c>
      <c r="C45">
        <v>384.04</v>
      </c>
      <c r="D45">
        <v>385.09</v>
      </c>
      <c r="E45">
        <v>403.13</v>
      </c>
      <c r="F45">
        <v>416.18</v>
      </c>
      <c r="G45">
        <v>415.98</v>
      </c>
      <c r="H45">
        <v>411.03</v>
      </c>
      <c r="I45">
        <v>422.96</v>
      </c>
      <c r="J45">
        <v>434.8</v>
      </c>
      <c r="K45">
        <v>430.82</v>
      </c>
    </row>
    <row r="46" spans="1:11" s="6" customFormat="1">
      <c r="A46" s="6" t="s">
        <v>11</v>
      </c>
      <c r="B46">
        <v>9.8699999999999992</v>
      </c>
      <c r="C46">
        <v>11.94</v>
      </c>
      <c r="D46">
        <v>10.72</v>
      </c>
      <c r="E46">
        <v>9.6</v>
      </c>
      <c r="F46">
        <v>14.73</v>
      </c>
      <c r="G46">
        <v>9.82</v>
      </c>
      <c r="H46">
        <v>10.91</v>
      </c>
      <c r="I46">
        <v>16.47</v>
      </c>
      <c r="J46">
        <v>20.05</v>
      </c>
      <c r="K46">
        <v>19.47</v>
      </c>
    </row>
    <row r="47" spans="1:11" s="6" customFormat="1">
      <c r="A47" s="6" t="s">
        <v>12</v>
      </c>
      <c r="B47">
        <v>6664.83</v>
      </c>
      <c r="C47">
        <v>6634.51</v>
      </c>
      <c r="D47">
        <v>6774.26</v>
      </c>
      <c r="E47">
        <v>6903.24</v>
      </c>
      <c r="F47">
        <v>6811.48</v>
      </c>
      <c r="G47">
        <v>6739.5</v>
      </c>
      <c r="H47">
        <v>21488.73</v>
      </c>
      <c r="I47">
        <v>7128.01</v>
      </c>
      <c r="J47">
        <v>6978.68</v>
      </c>
      <c r="K47">
        <v>6754.08</v>
      </c>
    </row>
    <row r="48" spans="1:11" s="6" customFormat="1">
      <c r="A48" s="6" t="s">
        <v>13</v>
      </c>
      <c r="B48">
        <v>1700.31</v>
      </c>
      <c r="C48">
        <v>1227.99</v>
      </c>
      <c r="D48">
        <v>1583.55</v>
      </c>
      <c r="E48">
        <v>1726.25</v>
      </c>
      <c r="F48">
        <v>1757.05</v>
      </c>
      <c r="G48">
        <v>1726.32</v>
      </c>
      <c r="H48">
        <v>1680.85</v>
      </c>
      <c r="I48">
        <v>1784.6</v>
      </c>
      <c r="J48">
        <v>1792.13</v>
      </c>
      <c r="K48">
        <v>1735.63</v>
      </c>
    </row>
    <row r="49" spans="1:11" s="6" customFormat="1">
      <c r="A49" s="6" t="s">
        <v>14</v>
      </c>
      <c r="B49">
        <v>4898.07</v>
      </c>
      <c r="C49">
        <v>5335.23</v>
      </c>
      <c r="D49">
        <v>5120.55</v>
      </c>
      <c r="E49">
        <v>5091.59</v>
      </c>
      <c r="F49">
        <v>4992.87</v>
      </c>
      <c r="G49">
        <v>4934.8</v>
      </c>
      <c r="H49">
        <v>19727.37</v>
      </c>
      <c r="I49">
        <v>5244.2</v>
      </c>
      <c r="J49">
        <v>5126.1099999999997</v>
      </c>
      <c r="K49">
        <v>4931.1899999999996</v>
      </c>
    </row>
    <row r="50" spans="1:11">
      <c r="A50" s="6" t="s">
        <v>8</v>
      </c>
      <c r="B50">
        <v>6454.24</v>
      </c>
      <c r="C50">
        <v>6210.23</v>
      </c>
      <c r="D50">
        <v>6302.07</v>
      </c>
      <c r="E50">
        <v>6544.84</v>
      </c>
      <c r="F50">
        <v>6552.08</v>
      </c>
      <c r="G50">
        <v>6361.9</v>
      </c>
      <c r="H50">
        <v>6519.39</v>
      </c>
      <c r="I50">
        <v>6816.47</v>
      </c>
      <c r="J50">
        <v>6694.69</v>
      </c>
      <c r="K50">
        <v>6882.52</v>
      </c>
    </row>
    <row r="51" spans="1:11">
      <c r="A51" s="6"/>
    </row>
    <row r="52" spans="1:11">
      <c r="A52" s="6"/>
    </row>
    <row r="53" spans="1:11">
      <c r="A53" s="6"/>
    </row>
    <row r="54" spans="1:11">
      <c r="A54" s="6"/>
    </row>
    <row r="55" spans="1:11">
      <c r="A55" s="1" t="s">
        <v>40</v>
      </c>
    </row>
    <row r="56" spans="1:11" s="18" customFormat="1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>
      <c r="A57" s="6" t="s">
        <v>24</v>
      </c>
      <c r="B57">
        <v>804.72</v>
      </c>
      <c r="C57">
        <v>1214.74</v>
      </c>
      <c r="D57">
        <v>1220.43</v>
      </c>
      <c r="E57">
        <v>1225.8599999999999</v>
      </c>
      <c r="F57">
        <v>1229.22</v>
      </c>
      <c r="G57">
        <v>1230.8800000000001</v>
      </c>
      <c r="H57">
        <v>1232.33</v>
      </c>
      <c r="I57">
        <v>1242.8</v>
      </c>
      <c r="J57">
        <v>1248.47</v>
      </c>
      <c r="K57">
        <v>1251.4100000000001</v>
      </c>
    </row>
    <row r="58" spans="1:11">
      <c r="A58" s="6" t="s">
        <v>25</v>
      </c>
      <c r="B58">
        <v>41874.800000000003</v>
      </c>
      <c r="C58">
        <v>45198.19</v>
      </c>
      <c r="D58">
        <v>51289.68</v>
      </c>
      <c r="E58">
        <v>57915.01</v>
      </c>
      <c r="F58">
        <v>64044.04</v>
      </c>
      <c r="G58">
        <v>59116.46</v>
      </c>
      <c r="H58">
        <v>61223.24</v>
      </c>
      <c r="I58">
        <v>67912.460000000006</v>
      </c>
      <c r="J58">
        <v>73258.53</v>
      </c>
      <c r="K58">
        <v>68778.64</v>
      </c>
    </row>
    <row r="59" spans="1:11">
      <c r="A59" s="6" t="s">
        <v>71</v>
      </c>
      <c r="B59">
        <v>83.78</v>
      </c>
      <c r="C59">
        <v>45.72</v>
      </c>
      <c r="D59">
        <v>35.92</v>
      </c>
      <c r="E59">
        <v>13.44</v>
      </c>
      <c r="F59">
        <v>277.45</v>
      </c>
      <c r="G59">
        <v>270.83</v>
      </c>
      <c r="H59">
        <v>249.44</v>
      </c>
      <c r="I59">
        <v>306.04000000000002</v>
      </c>
      <c r="J59">
        <v>303.43</v>
      </c>
      <c r="K59">
        <v>284.54000000000002</v>
      </c>
    </row>
    <row r="60" spans="1:11">
      <c r="A60" s="6" t="s">
        <v>72</v>
      </c>
      <c r="B60">
        <v>8888.0400000000009</v>
      </c>
      <c r="C60">
        <v>9439.67</v>
      </c>
      <c r="D60">
        <v>11694.85</v>
      </c>
      <c r="E60">
        <v>12584.73</v>
      </c>
      <c r="F60">
        <v>11760.04</v>
      </c>
      <c r="G60">
        <v>13142.59</v>
      </c>
      <c r="H60">
        <v>14491.01</v>
      </c>
      <c r="I60">
        <v>16369.66</v>
      </c>
      <c r="J60">
        <v>16943.54</v>
      </c>
      <c r="K60">
        <v>17688.11</v>
      </c>
    </row>
    <row r="61" spans="1:11" s="1" customFormat="1">
      <c r="A61" s="1" t="s">
        <v>26</v>
      </c>
      <c r="B61">
        <v>51651.34</v>
      </c>
      <c r="C61">
        <v>55898.32</v>
      </c>
      <c r="D61">
        <v>64240.88</v>
      </c>
      <c r="E61">
        <v>71739.039999999994</v>
      </c>
      <c r="F61">
        <v>77310.75</v>
      </c>
      <c r="G61">
        <v>73760.759999999995</v>
      </c>
      <c r="H61">
        <v>77196.02</v>
      </c>
      <c r="I61">
        <v>85830.96</v>
      </c>
      <c r="J61">
        <v>91753.97</v>
      </c>
      <c r="K61">
        <v>88002.7</v>
      </c>
    </row>
    <row r="62" spans="1:11">
      <c r="A62" s="6" t="s">
        <v>27</v>
      </c>
      <c r="B62">
        <v>15106.63</v>
      </c>
      <c r="C62">
        <v>15893.48</v>
      </c>
      <c r="D62">
        <v>16523.96</v>
      </c>
      <c r="E62">
        <v>19374.189999999999</v>
      </c>
      <c r="F62">
        <v>21713.34</v>
      </c>
      <c r="G62">
        <v>23298.48</v>
      </c>
      <c r="H62">
        <v>24231.59</v>
      </c>
      <c r="I62">
        <v>25851.27</v>
      </c>
      <c r="J62">
        <v>27820.22</v>
      </c>
      <c r="K62">
        <v>21954.85</v>
      </c>
    </row>
    <row r="63" spans="1:11">
      <c r="A63" s="6" t="s">
        <v>28</v>
      </c>
      <c r="B63">
        <v>2559.7199999999998</v>
      </c>
      <c r="C63">
        <v>3729.89</v>
      </c>
      <c r="D63">
        <v>5508.33</v>
      </c>
      <c r="E63">
        <v>4136.42</v>
      </c>
      <c r="F63">
        <v>3256.46</v>
      </c>
      <c r="G63">
        <v>4011.29</v>
      </c>
      <c r="H63">
        <v>3225.54</v>
      </c>
      <c r="I63">
        <v>3003.3</v>
      </c>
      <c r="J63">
        <v>2860.78</v>
      </c>
      <c r="K63">
        <v>1090.9100000000001</v>
      </c>
    </row>
    <row r="64" spans="1:11">
      <c r="A64" s="6" t="s">
        <v>29</v>
      </c>
      <c r="B64">
        <v>11747.59</v>
      </c>
      <c r="C64">
        <v>17581.38</v>
      </c>
      <c r="D64">
        <v>22052.86</v>
      </c>
      <c r="E64">
        <v>25043.49</v>
      </c>
      <c r="F64">
        <v>28663.35</v>
      </c>
      <c r="G64">
        <v>24870.87</v>
      </c>
      <c r="H64">
        <v>24841.01</v>
      </c>
      <c r="I64">
        <v>29415.02</v>
      </c>
      <c r="J64">
        <v>31114.02</v>
      </c>
      <c r="K64">
        <v>34719.82</v>
      </c>
    </row>
    <row r="65" spans="1:11">
      <c r="A65" s="6" t="s">
        <v>73</v>
      </c>
      <c r="B65">
        <v>22237.4</v>
      </c>
      <c r="C65">
        <v>18693.57</v>
      </c>
      <c r="D65">
        <v>20155.73</v>
      </c>
      <c r="E65">
        <v>23184.94</v>
      </c>
      <c r="F65">
        <v>23677.599999999999</v>
      </c>
      <c r="G65">
        <v>21580.12</v>
      </c>
      <c r="H65">
        <v>24897.88</v>
      </c>
      <c r="I65">
        <v>27561.37</v>
      </c>
      <c r="J65">
        <v>29958.95</v>
      </c>
      <c r="K65">
        <v>30237.119999999999</v>
      </c>
    </row>
    <row r="66" spans="1:11" s="1" customFormat="1">
      <c r="A66" s="1" t="s">
        <v>26</v>
      </c>
      <c r="B66">
        <v>51651.34</v>
      </c>
      <c r="C66">
        <v>55898.32</v>
      </c>
      <c r="D66">
        <v>64240.88</v>
      </c>
      <c r="E66">
        <v>71739.039999999994</v>
      </c>
      <c r="F66">
        <v>77310.75</v>
      </c>
      <c r="G66">
        <v>73760.759999999995</v>
      </c>
      <c r="H66">
        <v>77196.02</v>
      </c>
      <c r="I66">
        <v>85830.96</v>
      </c>
      <c r="J66">
        <v>91753.97</v>
      </c>
      <c r="K66">
        <v>88002.7</v>
      </c>
    </row>
    <row r="67" spans="1:11" s="6" customFormat="1">
      <c r="A67" s="6" t="s">
        <v>78</v>
      </c>
      <c r="B67">
        <v>1917.18</v>
      </c>
      <c r="C67">
        <v>2474.29</v>
      </c>
      <c r="D67">
        <v>2682.29</v>
      </c>
      <c r="E67">
        <v>4035.28</v>
      </c>
      <c r="F67">
        <v>2562.48</v>
      </c>
      <c r="G67">
        <v>2501.6999999999998</v>
      </c>
      <c r="H67">
        <v>2461.9</v>
      </c>
      <c r="I67">
        <v>2956.17</v>
      </c>
      <c r="J67">
        <v>4025.82</v>
      </c>
      <c r="K67">
        <v>4719.67</v>
      </c>
    </row>
    <row r="68" spans="1:11">
      <c r="A68" s="6" t="s">
        <v>45</v>
      </c>
      <c r="B68">
        <v>9062.1</v>
      </c>
      <c r="C68">
        <v>8116.1</v>
      </c>
      <c r="D68">
        <v>7495.09</v>
      </c>
      <c r="E68">
        <v>7859.56</v>
      </c>
      <c r="F68">
        <v>8879.33</v>
      </c>
      <c r="G68">
        <v>10397.16</v>
      </c>
      <c r="H68">
        <v>10864.15</v>
      </c>
      <c r="I68">
        <v>11771.16</v>
      </c>
      <c r="J68">
        <v>14152.88</v>
      </c>
      <c r="K68">
        <v>15637.56</v>
      </c>
    </row>
    <row r="69" spans="1:11">
      <c r="A69" s="4" t="s">
        <v>87</v>
      </c>
      <c r="B69">
        <v>6063.3</v>
      </c>
      <c r="C69">
        <v>2967.4</v>
      </c>
      <c r="D69">
        <v>2899.6</v>
      </c>
      <c r="E69">
        <v>4152.03</v>
      </c>
      <c r="F69">
        <v>7277.34</v>
      </c>
      <c r="G69">
        <v>4659.0200000000004</v>
      </c>
      <c r="H69">
        <v>4654.42</v>
      </c>
      <c r="I69">
        <v>4880.1899999999996</v>
      </c>
      <c r="J69">
        <v>7217.68</v>
      </c>
      <c r="K69">
        <v>4012.36</v>
      </c>
    </row>
    <row r="70" spans="1:11">
      <c r="A70" s="4" t="s">
        <v>74</v>
      </c>
      <c r="B70">
        <v>8047206991</v>
      </c>
      <c r="C70">
        <v>12147383071</v>
      </c>
      <c r="D70">
        <v>12204294911</v>
      </c>
      <c r="E70">
        <v>12258631601</v>
      </c>
      <c r="F70">
        <v>12292231241</v>
      </c>
      <c r="G70">
        <v>12308844231</v>
      </c>
      <c r="H70">
        <v>12323255931</v>
      </c>
      <c r="I70">
        <v>12428017741</v>
      </c>
      <c r="J70">
        <v>12484700000</v>
      </c>
      <c r="K70">
        <v>12514119781</v>
      </c>
    </row>
    <row r="71" spans="1:11">
      <c r="A71" s="4" t="s">
        <v>75</v>
      </c>
      <c r="C71">
        <v>4026657100</v>
      </c>
    </row>
    <row r="72" spans="1:11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>
      <c r="A74" s="6"/>
    </row>
    <row r="75" spans="1:11">
      <c r="A75" s="6"/>
    </row>
    <row r="76" spans="1:11">
      <c r="A76" s="6"/>
    </row>
    <row r="77" spans="1:11">
      <c r="A77" s="6"/>
    </row>
    <row r="78" spans="1:11">
      <c r="A78" s="6"/>
    </row>
    <row r="79" spans="1:11">
      <c r="A79" s="6"/>
    </row>
    <row r="80" spans="1:11">
      <c r="A80" s="1" t="s">
        <v>41</v>
      </c>
    </row>
    <row r="81" spans="1:11" s="18" customFormat="1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>
      <c r="A82" s="6" t="s">
        <v>32</v>
      </c>
      <c r="B82">
        <v>9799.0400000000009</v>
      </c>
      <c r="C82">
        <v>10627.31</v>
      </c>
      <c r="D82">
        <v>13169.4</v>
      </c>
      <c r="E82">
        <v>12583.41</v>
      </c>
      <c r="F82">
        <v>14689.66</v>
      </c>
      <c r="G82">
        <v>12526.97</v>
      </c>
      <c r="H82">
        <v>15775.51</v>
      </c>
      <c r="I82">
        <v>18877.55</v>
      </c>
      <c r="J82">
        <v>17178.86</v>
      </c>
      <c r="K82">
        <v>17627.04</v>
      </c>
    </row>
    <row r="83" spans="1:11" s="6" customFormat="1">
      <c r="A83" s="6" t="s">
        <v>33</v>
      </c>
      <c r="B83">
        <v>-3920.73</v>
      </c>
      <c r="C83">
        <v>-3250.93</v>
      </c>
      <c r="D83">
        <v>-7113.89</v>
      </c>
      <c r="E83">
        <v>-5545.68</v>
      </c>
      <c r="F83">
        <v>-6174.02</v>
      </c>
      <c r="G83">
        <v>5739.98</v>
      </c>
      <c r="H83">
        <v>-2238.4899999999998</v>
      </c>
      <c r="I83">
        <v>-5732.29</v>
      </c>
      <c r="J83">
        <v>1562.77</v>
      </c>
      <c r="K83">
        <v>-563.84</v>
      </c>
    </row>
    <row r="84" spans="1:11" s="6" customFormat="1">
      <c r="A84" s="6" t="s">
        <v>34</v>
      </c>
      <c r="B84">
        <v>-5612.52</v>
      </c>
      <c r="C84">
        <v>-7301.03</v>
      </c>
      <c r="D84">
        <v>-6221.13</v>
      </c>
      <c r="E84">
        <v>-6868.64</v>
      </c>
      <c r="F84">
        <v>-8181.48</v>
      </c>
      <c r="G84">
        <v>-18633.830000000002</v>
      </c>
      <c r="H84">
        <v>-13580.5</v>
      </c>
      <c r="I84">
        <v>-13006.03</v>
      </c>
      <c r="J84">
        <v>-18550.96</v>
      </c>
      <c r="K84">
        <v>-17037.400000000001</v>
      </c>
    </row>
    <row r="85" spans="1:11" s="1" customFormat="1">
      <c r="A85" s="6" t="s">
        <v>35</v>
      </c>
      <c r="B85">
        <v>265.79000000000002</v>
      </c>
      <c r="C85">
        <v>75.349999999999994</v>
      </c>
      <c r="D85">
        <v>-165.62</v>
      </c>
      <c r="E85">
        <v>169.09</v>
      </c>
      <c r="F85">
        <v>334.16</v>
      </c>
      <c r="G85">
        <v>-366.88</v>
      </c>
      <c r="H85">
        <v>-43.48</v>
      </c>
      <c r="I85">
        <v>139.22999999999999</v>
      </c>
      <c r="J85">
        <v>190.67</v>
      </c>
      <c r="K85">
        <v>25.8</v>
      </c>
    </row>
    <row r="86" spans="1:11">
      <c r="A86" s="6"/>
    </row>
    <row r="87" spans="1:11">
      <c r="A87" s="6"/>
    </row>
    <row r="88" spans="1:11">
      <c r="A88" s="6"/>
    </row>
    <row r="89" spans="1:11">
      <c r="A89" s="6"/>
    </row>
    <row r="90" spans="1:11" s="1" customFormat="1">
      <c r="A90" s="1" t="s">
        <v>77</v>
      </c>
      <c r="B90">
        <v>205.13</v>
      </c>
      <c r="C90">
        <v>262.75</v>
      </c>
      <c r="D90">
        <v>239.5</v>
      </c>
      <c r="E90">
        <v>278.64</v>
      </c>
      <c r="F90">
        <v>160.94999999999999</v>
      </c>
      <c r="G90">
        <v>204.82</v>
      </c>
      <c r="H90">
        <v>234.96</v>
      </c>
      <c r="I90">
        <v>359.49</v>
      </c>
      <c r="J90">
        <v>401.53</v>
      </c>
      <c r="K90">
        <v>409.75</v>
      </c>
    </row>
    <row r="92" spans="1:11" s="1" customFormat="1">
      <c r="A92" s="1" t="s">
        <v>76</v>
      </c>
    </row>
    <row r="93" spans="1:11">
      <c r="A93" s="4" t="s">
        <v>89</v>
      </c>
      <c r="B93" s="24">
        <v>1207.08</v>
      </c>
      <c r="C93" s="24">
        <v>1214.74</v>
      </c>
      <c r="D93" s="24">
        <v>1220.43</v>
      </c>
      <c r="E93" s="24">
        <v>1225.8599999999999</v>
      </c>
      <c r="F93" s="24">
        <v>1229.22</v>
      </c>
      <c r="G93" s="24">
        <v>1230.8800000000001</v>
      </c>
      <c r="H93" s="24">
        <v>1232.33</v>
      </c>
      <c r="I93" s="24">
        <v>1242.8</v>
      </c>
      <c r="J93" s="24">
        <v>1248.47</v>
      </c>
      <c r="K93" s="24">
        <v>1251.4100000000001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EF15-047B-4E44-93BD-CE909AED1990}">
  <dimension ref="A1:C1234"/>
  <sheetViews>
    <sheetView zoomScale="109" workbookViewId="0">
      <selection activeCell="O12" sqref="O12"/>
    </sheetView>
  </sheetViews>
  <sheetFormatPr defaultRowHeight="15"/>
  <cols>
    <col min="1" max="1" width="11.140625" bestFit="1" customWidth="1"/>
    <col min="2" max="2" width="7" bestFit="1" customWidth="1"/>
    <col min="3" max="3" width="10.85546875" bestFit="1" customWidth="1"/>
    <col min="4" max="4" width="10.140625" bestFit="1" customWidth="1"/>
    <col min="5" max="5" width="9" bestFit="1" customWidth="1"/>
    <col min="6" max="6" width="10" bestFit="1" customWidth="1"/>
  </cols>
  <sheetData>
    <row r="1" spans="1:3" ht="27" thickBot="1">
      <c r="A1" s="37" t="s">
        <v>113</v>
      </c>
      <c r="B1" s="33" t="s">
        <v>129</v>
      </c>
      <c r="C1" s="33" t="s">
        <v>114</v>
      </c>
    </row>
    <row r="2" spans="1:3" ht="15.75" thickBot="1">
      <c r="A2" s="38">
        <v>44228</v>
      </c>
      <c r="B2" s="34">
        <v>215.95</v>
      </c>
      <c r="C2" s="34">
        <v>57744414</v>
      </c>
    </row>
    <row r="3" spans="1:3" ht="15.75" thickBot="1">
      <c r="A3" s="38">
        <v>44229</v>
      </c>
      <c r="B3" s="34">
        <v>218.2</v>
      </c>
      <c r="C3" s="34">
        <v>48457781</v>
      </c>
    </row>
    <row r="4" spans="1:3" ht="15.75" thickBot="1">
      <c r="A4" s="38">
        <v>44230</v>
      </c>
      <c r="B4" s="34">
        <v>216.75</v>
      </c>
      <c r="C4" s="34">
        <v>53643263</v>
      </c>
    </row>
    <row r="5" spans="1:3" ht="15.75" thickBot="1">
      <c r="A5" s="38">
        <v>44231</v>
      </c>
      <c r="B5" s="34">
        <v>229.95</v>
      </c>
      <c r="C5" s="34">
        <v>105818897</v>
      </c>
    </row>
    <row r="6" spans="1:3" ht="15.75" thickBot="1">
      <c r="A6" s="38">
        <v>44232</v>
      </c>
      <c r="B6" s="34">
        <v>234.35</v>
      </c>
      <c r="C6" s="34">
        <v>125490301</v>
      </c>
    </row>
    <row r="7" spans="1:3" ht="15.75" thickBot="1">
      <c r="A7" s="38">
        <v>44235</v>
      </c>
      <c r="B7" s="34">
        <v>233.1</v>
      </c>
      <c r="C7" s="34">
        <v>41495834</v>
      </c>
    </row>
    <row r="8" spans="1:3" ht="15.75" thickBot="1">
      <c r="A8" s="38">
        <v>44236</v>
      </c>
      <c r="B8" s="34">
        <v>229</v>
      </c>
      <c r="C8" s="34">
        <v>70655961</v>
      </c>
    </row>
    <row r="9" spans="1:3" ht="15.75" thickBot="1">
      <c r="A9" s="38">
        <v>44237</v>
      </c>
      <c r="B9" s="34">
        <v>227.55</v>
      </c>
      <c r="C9" s="34">
        <v>47283127</v>
      </c>
    </row>
    <row r="10" spans="1:3" ht="15.75" thickBot="1">
      <c r="A10" s="38">
        <v>44238</v>
      </c>
      <c r="B10" s="34">
        <v>226.45</v>
      </c>
      <c r="C10" s="34">
        <v>43631374</v>
      </c>
    </row>
    <row r="11" spans="1:3" ht="15.75" thickBot="1">
      <c r="A11" s="38">
        <v>44239</v>
      </c>
      <c r="B11" s="34">
        <v>217.45</v>
      </c>
      <c r="C11" s="34">
        <v>110568108</v>
      </c>
    </row>
    <row r="12" spans="1:3" ht="15.75" thickBot="1">
      <c r="A12" s="38">
        <v>44242</v>
      </c>
      <c r="B12" s="34">
        <v>218.6</v>
      </c>
      <c r="C12" s="34">
        <v>31776555</v>
      </c>
    </row>
    <row r="13" spans="1:3" ht="15.75" thickBot="1">
      <c r="A13" s="38">
        <v>44243</v>
      </c>
      <c r="B13" s="34">
        <v>218.25</v>
      </c>
      <c r="C13" s="34">
        <v>29148891</v>
      </c>
    </row>
    <row r="14" spans="1:3" ht="15.75" thickBot="1">
      <c r="A14" s="38">
        <v>44244</v>
      </c>
      <c r="B14" s="34">
        <v>217.75</v>
      </c>
      <c r="C14" s="34">
        <v>19850516</v>
      </c>
    </row>
    <row r="15" spans="1:3" ht="15.75" thickBot="1">
      <c r="A15" s="38">
        <v>44245</v>
      </c>
      <c r="B15" s="34">
        <v>218.85</v>
      </c>
      <c r="C15" s="34">
        <v>24070563</v>
      </c>
    </row>
    <row r="16" spans="1:3" ht="15.75" thickBot="1">
      <c r="A16" s="38">
        <v>44246</v>
      </c>
      <c r="B16" s="34">
        <v>215.95</v>
      </c>
      <c r="C16" s="34">
        <v>28125203</v>
      </c>
    </row>
    <row r="17" spans="1:3" ht="15.75" thickBot="1">
      <c r="A17" s="38">
        <v>44249</v>
      </c>
      <c r="B17" s="34">
        <v>207.05</v>
      </c>
      <c r="C17" s="34">
        <v>51546288</v>
      </c>
    </row>
    <row r="18" spans="1:3" ht="15.75" thickBot="1">
      <c r="A18" s="38">
        <v>44250</v>
      </c>
      <c r="B18" s="34">
        <v>208.5</v>
      </c>
      <c r="C18" s="34">
        <v>26675953</v>
      </c>
    </row>
    <row r="19" spans="1:3" ht="15.75" thickBot="1">
      <c r="A19" s="38">
        <v>44251</v>
      </c>
      <c r="B19" s="34">
        <v>208.85</v>
      </c>
      <c r="C19" s="34">
        <v>13160617</v>
      </c>
    </row>
    <row r="20" spans="1:3" ht="15.75" thickBot="1">
      <c r="A20" s="38">
        <v>44252</v>
      </c>
      <c r="B20" s="34">
        <v>209.15</v>
      </c>
      <c r="C20" s="34">
        <v>25954142</v>
      </c>
    </row>
    <row r="21" spans="1:3" ht="15.75" thickBot="1">
      <c r="A21" s="38">
        <v>44253</v>
      </c>
      <c r="B21" s="34">
        <v>203.85</v>
      </c>
      <c r="C21" s="34">
        <v>43429293</v>
      </c>
    </row>
    <row r="22" spans="1:3" ht="15.75" thickBot="1">
      <c r="A22" s="38">
        <v>44256</v>
      </c>
      <c r="B22" s="34">
        <v>206.9</v>
      </c>
      <c r="C22" s="34">
        <v>16225536</v>
      </c>
    </row>
    <row r="23" spans="1:3" ht="15.75" thickBot="1">
      <c r="A23" s="38">
        <v>44257</v>
      </c>
      <c r="B23" s="34">
        <v>209.9</v>
      </c>
      <c r="C23" s="34">
        <v>25604169</v>
      </c>
    </row>
    <row r="24" spans="1:3" ht="15.75" thickBot="1">
      <c r="A24" s="38">
        <v>44258</v>
      </c>
      <c r="B24" s="34">
        <v>209.95</v>
      </c>
      <c r="C24" s="34">
        <v>20846117</v>
      </c>
    </row>
    <row r="25" spans="1:3" ht="15.75" thickBot="1">
      <c r="A25" s="38">
        <v>44259</v>
      </c>
      <c r="B25" s="34">
        <v>209.7</v>
      </c>
      <c r="C25" s="34">
        <v>24899212</v>
      </c>
    </row>
    <row r="26" spans="1:3" ht="15.75" thickBot="1">
      <c r="A26" s="38">
        <v>44260</v>
      </c>
      <c r="B26" s="34">
        <v>208.55</v>
      </c>
      <c r="C26" s="34">
        <v>17323590</v>
      </c>
    </row>
    <row r="27" spans="1:3" ht="15.75" thickBot="1">
      <c r="A27" s="38">
        <v>44263</v>
      </c>
      <c r="B27" s="34">
        <v>208</v>
      </c>
      <c r="C27" s="34">
        <v>22988740</v>
      </c>
    </row>
    <row r="28" spans="1:3" ht="15.75" thickBot="1">
      <c r="A28" s="38">
        <v>44264</v>
      </c>
      <c r="B28" s="34">
        <v>207.8</v>
      </c>
      <c r="C28" s="34">
        <v>22593086</v>
      </c>
    </row>
    <row r="29" spans="1:3" ht="15.75" thickBot="1">
      <c r="A29" s="38">
        <v>44265</v>
      </c>
      <c r="B29" s="34">
        <v>206.5</v>
      </c>
      <c r="C29" s="34">
        <v>19603214</v>
      </c>
    </row>
    <row r="30" spans="1:3" ht="15.75" thickBot="1">
      <c r="A30" s="38">
        <v>44267</v>
      </c>
      <c r="B30" s="34">
        <v>205.2</v>
      </c>
      <c r="C30" s="34">
        <v>30787960</v>
      </c>
    </row>
    <row r="31" spans="1:3" ht="15.75" thickBot="1">
      <c r="A31" s="38">
        <v>44270</v>
      </c>
      <c r="B31" s="34">
        <v>205.45</v>
      </c>
      <c r="C31" s="34">
        <v>41115906</v>
      </c>
    </row>
    <row r="32" spans="1:3" ht="15.75" thickBot="1">
      <c r="A32" s="38">
        <v>44271</v>
      </c>
      <c r="B32" s="34">
        <v>207.85</v>
      </c>
      <c r="C32" s="34">
        <v>48763187</v>
      </c>
    </row>
    <row r="33" spans="1:3" ht="15.75" thickBot="1">
      <c r="A33" s="38">
        <v>44272</v>
      </c>
      <c r="B33" s="34">
        <v>210.6</v>
      </c>
      <c r="C33" s="34">
        <v>78578698</v>
      </c>
    </row>
    <row r="34" spans="1:3" ht="15.75" thickBot="1">
      <c r="A34" s="38">
        <v>44273</v>
      </c>
      <c r="B34" s="34">
        <v>217.65</v>
      </c>
      <c r="C34" s="34">
        <v>91993104</v>
      </c>
    </row>
    <row r="35" spans="1:3" ht="15.75" thickBot="1">
      <c r="A35" s="38">
        <v>44274</v>
      </c>
      <c r="B35" s="34">
        <v>222.95</v>
      </c>
      <c r="C35" s="34">
        <v>134184994</v>
      </c>
    </row>
    <row r="36" spans="1:3" ht="15.75" thickBot="1">
      <c r="A36" s="38">
        <v>44277</v>
      </c>
      <c r="B36" s="34">
        <v>226</v>
      </c>
      <c r="C36" s="34">
        <v>46050245</v>
      </c>
    </row>
    <row r="37" spans="1:3" ht="15.75" thickBot="1">
      <c r="A37" s="38">
        <v>44278</v>
      </c>
      <c r="B37" s="34">
        <v>222.2</v>
      </c>
      <c r="C37" s="34">
        <v>41564683</v>
      </c>
    </row>
    <row r="38" spans="1:3" ht="15.75" thickBot="1">
      <c r="A38" s="38">
        <v>44279</v>
      </c>
      <c r="B38" s="34">
        <v>215.95</v>
      </c>
      <c r="C38" s="34">
        <v>27609243</v>
      </c>
    </row>
    <row r="39" spans="1:3" ht="15.75" thickBot="1">
      <c r="A39" s="38">
        <v>44280</v>
      </c>
      <c r="B39" s="34">
        <v>211.6</v>
      </c>
      <c r="C39" s="34">
        <v>40681282</v>
      </c>
    </row>
    <row r="40" spans="1:3" ht="15.75" thickBot="1">
      <c r="A40" s="38">
        <v>44281</v>
      </c>
      <c r="B40" s="34">
        <v>210.9</v>
      </c>
      <c r="C40" s="34">
        <v>26079435</v>
      </c>
    </row>
    <row r="41" spans="1:3" ht="15.75" thickBot="1">
      <c r="A41" s="38">
        <v>44285</v>
      </c>
      <c r="B41" s="34">
        <v>214.55</v>
      </c>
      <c r="C41" s="34">
        <v>27792437</v>
      </c>
    </row>
    <row r="42" spans="1:3" ht="15.75" thickBot="1">
      <c r="A42" s="38">
        <v>44286</v>
      </c>
      <c r="B42" s="34">
        <v>218.5</v>
      </c>
      <c r="C42" s="34">
        <v>36485322</v>
      </c>
    </row>
    <row r="43" spans="1:3" ht="15.75" thickBot="1">
      <c r="A43" s="38">
        <v>44287</v>
      </c>
      <c r="B43" s="34">
        <v>220.05</v>
      </c>
      <c r="C43" s="34">
        <v>29062762</v>
      </c>
    </row>
    <row r="44" spans="1:3" ht="15.75" thickBot="1">
      <c r="A44" s="38">
        <v>44291</v>
      </c>
      <c r="B44" s="34">
        <v>212.55</v>
      </c>
      <c r="C44" s="34">
        <v>31378045</v>
      </c>
    </row>
    <row r="45" spans="1:3" ht="15.75" thickBot="1">
      <c r="A45" s="38">
        <v>44292</v>
      </c>
      <c r="B45" s="34">
        <v>212.65</v>
      </c>
      <c r="C45" s="34">
        <v>25674227</v>
      </c>
    </row>
    <row r="46" spans="1:3" ht="15.75" thickBot="1">
      <c r="A46" s="38">
        <v>44293</v>
      </c>
      <c r="B46" s="34">
        <v>213.8</v>
      </c>
      <c r="C46" s="34">
        <v>15204883</v>
      </c>
    </row>
    <row r="47" spans="1:3" ht="15.75" thickBot="1">
      <c r="A47" s="38">
        <v>44294</v>
      </c>
      <c r="B47" s="34">
        <v>213.25</v>
      </c>
      <c r="C47" s="34">
        <v>14116874</v>
      </c>
    </row>
    <row r="48" spans="1:3" ht="15.75" thickBot="1">
      <c r="A48" s="38">
        <v>44295</v>
      </c>
      <c r="B48" s="34">
        <v>213.1</v>
      </c>
      <c r="C48" s="34">
        <v>16364247</v>
      </c>
    </row>
    <row r="49" spans="1:3" ht="15.75" thickBot="1">
      <c r="A49" s="38">
        <v>44298</v>
      </c>
      <c r="B49" s="34">
        <v>205.3</v>
      </c>
      <c r="C49" s="34">
        <v>34511670</v>
      </c>
    </row>
    <row r="50" spans="1:3" ht="15.75" thickBot="1">
      <c r="A50" s="38">
        <v>44299</v>
      </c>
      <c r="B50" s="34">
        <v>208.7</v>
      </c>
      <c r="C50" s="34">
        <v>20247639</v>
      </c>
    </row>
    <row r="51" spans="1:3" ht="15.75" thickBot="1">
      <c r="A51" s="38">
        <v>44301</v>
      </c>
      <c r="B51" s="34">
        <v>206.7</v>
      </c>
      <c r="C51" s="34">
        <v>17530742</v>
      </c>
    </row>
    <row r="52" spans="1:3" ht="15.75" thickBot="1">
      <c r="A52" s="38">
        <v>44302</v>
      </c>
      <c r="B52" s="34">
        <v>207.95</v>
      </c>
      <c r="C52" s="34">
        <v>13311926</v>
      </c>
    </row>
    <row r="53" spans="1:3" ht="15.75" thickBot="1">
      <c r="A53" s="38">
        <v>44305</v>
      </c>
      <c r="B53" s="34">
        <v>205.6</v>
      </c>
      <c r="C53" s="34">
        <v>15792299</v>
      </c>
    </row>
    <row r="54" spans="1:3" ht="15.75" thickBot="1">
      <c r="A54" s="38">
        <v>44306</v>
      </c>
      <c r="B54" s="34">
        <v>203.55</v>
      </c>
      <c r="C54" s="34">
        <v>21364882</v>
      </c>
    </row>
    <row r="55" spans="1:3" ht="15.75" thickBot="1">
      <c r="A55" s="38">
        <v>44308</v>
      </c>
      <c r="B55" s="34">
        <v>205.9</v>
      </c>
      <c r="C55" s="34">
        <v>23139735</v>
      </c>
    </row>
    <row r="56" spans="1:3" ht="15.75" thickBot="1">
      <c r="A56" s="38">
        <v>44309</v>
      </c>
      <c r="B56" s="34">
        <v>205.35</v>
      </c>
      <c r="C56" s="34">
        <v>19625381</v>
      </c>
    </row>
    <row r="57" spans="1:3" ht="15.75" thickBot="1">
      <c r="A57" s="38">
        <v>44312</v>
      </c>
      <c r="B57" s="34">
        <v>205.3</v>
      </c>
      <c r="C57" s="34">
        <v>19886214</v>
      </c>
    </row>
    <row r="58" spans="1:3" ht="15.75" thickBot="1">
      <c r="A58" s="38">
        <v>44313</v>
      </c>
      <c r="B58" s="34">
        <v>205.4</v>
      </c>
      <c r="C58" s="34">
        <v>11444814</v>
      </c>
    </row>
    <row r="59" spans="1:3" ht="15.75" thickBot="1">
      <c r="A59" s="38">
        <v>44314</v>
      </c>
      <c r="B59" s="34">
        <v>205.5</v>
      </c>
      <c r="C59" s="34">
        <v>12708021</v>
      </c>
    </row>
    <row r="60" spans="1:3" ht="15.75" thickBot="1">
      <c r="A60" s="38">
        <v>44315</v>
      </c>
      <c r="B60" s="34">
        <v>204.3</v>
      </c>
      <c r="C60" s="34">
        <v>13096755</v>
      </c>
    </row>
    <row r="61" spans="1:3" ht="15.75" thickBot="1">
      <c r="A61" s="38">
        <v>44316</v>
      </c>
      <c r="B61" s="34">
        <v>202.6</v>
      </c>
      <c r="C61" s="34">
        <v>16495657</v>
      </c>
    </row>
    <row r="62" spans="1:3" ht="15.75" thickBot="1">
      <c r="A62" s="38">
        <v>44319</v>
      </c>
      <c r="B62" s="34">
        <v>200.95</v>
      </c>
      <c r="C62" s="34">
        <v>20611626</v>
      </c>
    </row>
    <row r="63" spans="1:3" ht="15.75" thickBot="1">
      <c r="A63" s="38">
        <v>44320</v>
      </c>
      <c r="B63" s="34">
        <v>199.6</v>
      </c>
      <c r="C63" s="34">
        <v>18259282</v>
      </c>
    </row>
    <row r="64" spans="1:3" ht="15.75" thickBot="1">
      <c r="A64" s="38">
        <v>44321</v>
      </c>
      <c r="B64" s="34">
        <v>201.4</v>
      </c>
      <c r="C64" s="34">
        <v>13862655</v>
      </c>
    </row>
    <row r="65" spans="1:3" ht="15.75" thickBot="1">
      <c r="A65" s="38">
        <v>44322</v>
      </c>
      <c r="B65" s="34">
        <v>202.75</v>
      </c>
      <c r="C65" s="34">
        <v>14320889</v>
      </c>
    </row>
    <row r="66" spans="1:3" ht="15.75" thickBot="1">
      <c r="A66" s="38">
        <v>44323</v>
      </c>
      <c r="B66" s="34">
        <v>205.35</v>
      </c>
      <c r="C66" s="34">
        <v>19463495</v>
      </c>
    </row>
    <row r="67" spans="1:3" ht="15.75" thickBot="1">
      <c r="A67" s="38">
        <v>44326</v>
      </c>
      <c r="B67" s="34">
        <v>205.55</v>
      </c>
      <c r="C67" s="34">
        <v>16295368</v>
      </c>
    </row>
    <row r="68" spans="1:3" ht="15.75" thickBot="1">
      <c r="A68" s="38">
        <v>44327</v>
      </c>
      <c r="B68" s="34">
        <v>204</v>
      </c>
      <c r="C68" s="34">
        <v>13747541</v>
      </c>
    </row>
    <row r="69" spans="1:3" ht="15.75" thickBot="1">
      <c r="A69" s="38">
        <v>44328</v>
      </c>
      <c r="B69" s="34">
        <v>203.25</v>
      </c>
      <c r="C69" s="34">
        <v>16537612</v>
      </c>
    </row>
    <row r="70" spans="1:3" ht="15.75" thickBot="1">
      <c r="A70" s="38">
        <v>44330</v>
      </c>
      <c r="B70" s="34">
        <v>212.25</v>
      </c>
      <c r="C70" s="34">
        <v>61647120</v>
      </c>
    </row>
    <row r="71" spans="1:3" ht="15.75" thickBot="1">
      <c r="A71" s="38">
        <v>44333</v>
      </c>
      <c r="B71" s="34">
        <v>212.6</v>
      </c>
      <c r="C71" s="34">
        <v>38001828</v>
      </c>
    </row>
    <row r="72" spans="1:3" ht="15.75" thickBot="1">
      <c r="A72" s="38">
        <v>44334</v>
      </c>
      <c r="B72" s="34">
        <v>210.05</v>
      </c>
      <c r="C72" s="34">
        <v>30479551</v>
      </c>
    </row>
    <row r="73" spans="1:3" ht="15.75" thickBot="1">
      <c r="A73" s="38">
        <v>44335</v>
      </c>
      <c r="B73" s="34">
        <v>207.75</v>
      </c>
      <c r="C73" s="34">
        <v>24405319</v>
      </c>
    </row>
    <row r="74" spans="1:3" ht="15.75" thickBot="1">
      <c r="A74" s="38">
        <v>44336</v>
      </c>
      <c r="B74" s="34">
        <v>207</v>
      </c>
      <c r="C74" s="34">
        <v>20884367</v>
      </c>
    </row>
    <row r="75" spans="1:3" ht="15.75" thickBot="1">
      <c r="A75" s="38">
        <v>44337</v>
      </c>
      <c r="B75" s="34">
        <v>209.05</v>
      </c>
      <c r="C75" s="34">
        <v>22638020</v>
      </c>
    </row>
    <row r="76" spans="1:3" ht="15.75" thickBot="1">
      <c r="A76" s="38">
        <v>44340</v>
      </c>
      <c r="B76" s="34">
        <v>211.5</v>
      </c>
      <c r="C76" s="34">
        <v>28865798</v>
      </c>
    </row>
    <row r="77" spans="1:3" ht="15.75" thickBot="1">
      <c r="A77" s="38">
        <v>44341</v>
      </c>
      <c r="B77" s="34">
        <v>210.9</v>
      </c>
      <c r="C77" s="34">
        <v>25334878</v>
      </c>
    </row>
    <row r="78" spans="1:3" ht="15.75" thickBot="1">
      <c r="A78" s="38">
        <v>44342</v>
      </c>
      <c r="B78" s="34">
        <v>210.6</v>
      </c>
      <c r="C78" s="34">
        <v>17576137</v>
      </c>
    </row>
    <row r="79" spans="1:3" ht="15.75" thickBot="1">
      <c r="A79" s="38">
        <v>44343</v>
      </c>
      <c r="B79" s="34">
        <v>211.15</v>
      </c>
      <c r="C79" s="34">
        <v>47554219</v>
      </c>
    </row>
    <row r="80" spans="1:3" ht="15.75" thickBot="1">
      <c r="A80" s="38">
        <v>44344</v>
      </c>
      <c r="B80" s="34">
        <v>212.9</v>
      </c>
      <c r="C80" s="34">
        <v>25597550</v>
      </c>
    </row>
    <row r="81" spans="1:3" ht="15.75" thickBot="1">
      <c r="A81" s="38">
        <v>44347</v>
      </c>
      <c r="B81" s="34">
        <v>216.6</v>
      </c>
      <c r="C81" s="34">
        <v>73039531</v>
      </c>
    </row>
    <row r="82" spans="1:3" ht="15.75" thickBot="1">
      <c r="A82" s="38">
        <v>44348</v>
      </c>
      <c r="B82" s="34">
        <v>215.25</v>
      </c>
      <c r="C82" s="34">
        <v>38755111</v>
      </c>
    </row>
    <row r="83" spans="1:3" ht="15.75" thickBot="1">
      <c r="A83" s="38">
        <v>44349</v>
      </c>
      <c r="B83" s="34">
        <v>209</v>
      </c>
      <c r="C83" s="34">
        <v>96654991</v>
      </c>
    </row>
    <row r="84" spans="1:3" ht="15.75" thickBot="1">
      <c r="A84" s="38">
        <v>44350</v>
      </c>
      <c r="B84" s="34">
        <v>209.05</v>
      </c>
      <c r="C84" s="34">
        <v>46657520</v>
      </c>
    </row>
    <row r="85" spans="1:3" ht="15.75" thickBot="1">
      <c r="A85" s="38">
        <v>44351</v>
      </c>
      <c r="B85" s="34">
        <v>208.75</v>
      </c>
      <c r="C85" s="34">
        <v>30126021</v>
      </c>
    </row>
    <row r="86" spans="1:3" ht="15.75" thickBot="1">
      <c r="A86" s="38">
        <v>44354</v>
      </c>
      <c r="B86" s="34">
        <v>211.45</v>
      </c>
      <c r="C86" s="34">
        <v>31433280</v>
      </c>
    </row>
    <row r="87" spans="1:3" ht="15.75" thickBot="1">
      <c r="A87" s="38">
        <v>44355</v>
      </c>
      <c r="B87" s="34">
        <v>213.65</v>
      </c>
      <c r="C87" s="34">
        <v>21261361</v>
      </c>
    </row>
    <row r="88" spans="1:3" ht="15.75" thickBot="1">
      <c r="A88" s="38">
        <v>44356</v>
      </c>
      <c r="B88" s="34">
        <v>212.5</v>
      </c>
      <c r="C88" s="34">
        <v>24887924</v>
      </c>
    </row>
    <row r="89" spans="1:3" ht="15.75" thickBot="1">
      <c r="A89" s="38">
        <v>44357</v>
      </c>
      <c r="B89" s="34">
        <v>209.3</v>
      </c>
      <c r="C89" s="34">
        <v>30719587</v>
      </c>
    </row>
    <row r="90" spans="1:3" ht="15.75" thickBot="1">
      <c r="A90" s="38">
        <v>44358</v>
      </c>
      <c r="B90" s="34">
        <v>207.9</v>
      </c>
      <c r="C90" s="34">
        <v>21424291</v>
      </c>
    </row>
    <row r="91" spans="1:3" ht="15.75" thickBot="1">
      <c r="A91" s="38">
        <v>44361</v>
      </c>
      <c r="B91" s="34">
        <v>207.3</v>
      </c>
      <c r="C91" s="34">
        <v>17677889</v>
      </c>
    </row>
    <row r="92" spans="1:3" ht="15.75" thickBot="1">
      <c r="A92" s="38">
        <v>44362</v>
      </c>
      <c r="B92" s="34">
        <v>207.05</v>
      </c>
      <c r="C92" s="34">
        <v>14854294</v>
      </c>
    </row>
    <row r="93" spans="1:3" ht="15.75" thickBot="1">
      <c r="A93" s="38">
        <v>44363</v>
      </c>
      <c r="B93" s="34">
        <v>207.85</v>
      </c>
      <c r="C93" s="34">
        <v>20104244</v>
      </c>
    </row>
    <row r="94" spans="1:3" ht="15.75" thickBot="1">
      <c r="A94" s="38">
        <v>44364</v>
      </c>
      <c r="B94" s="34">
        <v>205.65</v>
      </c>
      <c r="C94" s="34">
        <v>21476893</v>
      </c>
    </row>
    <row r="95" spans="1:3" ht="15.75" thickBot="1">
      <c r="A95" s="38">
        <v>44365</v>
      </c>
      <c r="B95" s="34">
        <v>204.55</v>
      </c>
      <c r="C95" s="34">
        <v>23567549</v>
      </c>
    </row>
    <row r="96" spans="1:3" ht="15.75" thickBot="1">
      <c r="A96" s="38">
        <v>44368</v>
      </c>
      <c r="B96" s="34">
        <v>204.45</v>
      </c>
      <c r="C96" s="34">
        <v>19074685</v>
      </c>
    </row>
    <row r="97" spans="1:3" ht="15.75" thickBot="1">
      <c r="A97" s="38">
        <v>44369</v>
      </c>
      <c r="B97" s="34">
        <v>205.1</v>
      </c>
      <c r="C97" s="34">
        <v>18042675</v>
      </c>
    </row>
    <row r="98" spans="1:3" ht="15.75" thickBot="1">
      <c r="A98" s="38">
        <v>44370</v>
      </c>
      <c r="B98" s="34">
        <v>203.95</v>
      </c>
      <c r="C98" s="34">
        <v>12575210</v>
      </c>
    </row>
    <row r="99" spans="1:3" ht="15.75" thickBot="1">
      <c r="A99" s="38">
        <v>44371</v>
      </c>
      <c r="B99" s="34">
        <v>203.25</v>
      </c>
      <c r="C99" s="34">
        <v>22435272</v>
      </c>
    </row>
    <row r="100" spans="1:3" ht="15.75" thickBot="1">
      <c r="A100" s="38">
        <v>44372</v>
      </c>
      <c r="B100" s="34">
        <v>205.05</v>
      </c>
      <c r="C100" s="34">
        <v>13877208</v>
      </c>
    </row>
    <row r="101" spans="1:3" ht="15.75" thickBot="1">
      <c r="A101" s="38">
        <v>44375</v>
      </c>
      <c r="B101" s="34">
        <v>203.6</v>
      </c>
      <c r="C101" s="34">
        <v>14627153</v>
      </c>
    </row>
    <row r="102" spans="1:3" ht="15.75" thickBot="1">
      <c r="A102" s="38">
        <v>44376</v>
      </c>
      <c r="B102" s="34">
        <v>203.3</v>
      </c>
      <c r="C102" s="34">
        <v>13326068</v>
      </c>
    </row>
    <row r="103" spans="1:3" ht="15.75" thickBot="1">
      <c r="A103" s="38">
        <v>44377</v>
      </c>
      <c r="B103" s="34">
        <v>202.7</v>
      </c>
      <c r="C103" s="34">
        <v>15942408</v>
      </c>
    </row>
    <row r="104" spans="1:3" ht="15.75" thickBot="1">
      <c r="A104" s="38">
        <v>44378</v>
      </c>
      <c r="B104" s="34">
        <v>203</v>
      </c>
      <c r="C104" s="34">
        <v>10191296</v>
      </c>
    </row>
    <row r="105" spans="1:3" ht="15.75" thickBot="1">
      <c r="A105" s="38">
        <v>44379</v>
      </c>
      <c r="B105" s="34">
        <v>202.4</v>
      </c>
      <c r="C105" s="34">
        <v>12698779</v>
      </c>
    </row>
    <row r="106" spans="1:3" ht="15.75" thickBot="1">
      <c r="A106" s="38">
        <v>44382</v>
      </c>
      <c r="B106" s="34">
        <v>203.65</v>
      </c>
      <c r="C106" s="34">
        <v>10248249</v>
      </c>
    </row>
    <row r="107" spans="1:3" ht="15.75" thickBot="1">
      <c r="A107" s="38">
        <v>44383</v>
      </c>
      <c r="B107" s="34">
        <v>202.5</v>
      </c>
      <c r="C107" s="34">
        <v>11088659</v>
      </c>
    </row>
    <row r="108" spans="1:3" ht="15.75" thickBot="1">
      <c r="A108" s="38">
        <v>44384</v>
      </c>
      <c r="B108" s="34">
        <v>203.75</v>
      </c>
      <c r="C108" s="34">
        <v>17879443</v>
      </c>
    </row>
    <row r="109" spans="1:3" ht="15.75" thickBot="1">
      <c r="A109" s="38">
        <v>44385</v>
      </c>
      <c r="B109" s="34">
        <v>202</v>
      </c>
      <c r="C109" s="34">
        <v>20925008</v>
      </c>
    </row>
    <row r="110" spans="1:3" ht="15.75" thickBot="1">
      <c r="A110" s="38">
        <v>44386</v>
      </c>
      <c r="B110" s="34">
        <v>201.35</v>
      </c>
      <c r="C110" s="34">
        <v>11834045</v>
      </c>
    </row>
    <row r="111" spans="1:3" ht="15.75" thickBot="1">
      <c r="A111" s="38">
        <v>44389</v>
      </c>
      <c r="B111" s="34">
        <v>201.1</v>
      </c>
      <c r="C111" s="34">
        <v>13085323</v>
      </c>
    </row>
    <row r="112" spans="1:3" ht="15.75" thickBot="1">
      <c r="A112" s="38">
        <v>44390</v>
      </c>
      <c r="B112" s="34">
        <v>201.85</v>
      </c>
      <c r="C112" s="34">
        <v>10830411</v>
      </c>
    </row>
    <row r="113" spans="1:3" ht="15.75" thickBot="1">
      <c r="A113" s="38">
        <v>44391</v>
      </c>
      <c r="B113" s="34">
        <v>204.1</v>
      </c>
      <c r="C113" s="34">
        <v>20480406</v>
      </c>
    </row>
    <row r="114" spans="1:3" ht="15.75" thickBot="1">
      <c r="A114" s="38">
        <v>44392</v>
      </c>
      <c r="B114" s="34">
        <v>206.25</v>
      </c>
      <c r="C114" s="34">
        <v>28852257</v>
      </c>
    </row>
    <row r="115" spans="1:3" ht="15.75" thickBot="1">
      <c r="A115" s="38">
        <v>44393</v>
      </c>
      <c r="B115" s="34">
        <v>207.9</v>
      </c>
      <c r="C115" s="34">
        <v>29019824</v>
      </c>
    </row>
    <row r="116" spans="1:3" ht="15.75" thickBot="1">
      <c r="A116" s="38">
        <v>44396</v>
      </c>
      <c r="B116" s="34">
        <v>207.75</v>
      </c>
      <c r="C116" s="34">
        <v>16464973</v>
      </c>
    </row>
    <row r="117" spans="1:3" ht="15.75" thickBot="1">
      <c r="A117" s="38">
        <v>44397</v>
      </c>
      <c r="B117" s="34">
        <v>206.8</v>
      </c>
      <c r="C117" s="34">
        <v>23656813</v>
      </c>
    </row>
    <row r="118" spans="1:3" ht="15.75" thickBot="1">
      <c r="A118" s="38">
        <v>44399</v>
      </c>
      <c r="B118" s="34">
        <v>207</v>
      </c>
      <c r="C118" s="34">
        <v>18311537</v>
      </c>
    </row>
    <row r="119" spans="1:3" ht="15.75" thickBot="1">
      <c r="A119" s="38">
        <v>44400</v>
      </c>
      <c r="B119" s="34">
        <v>212.4</v>
      </c>
      <c r="C119" s="34">
        <v>44526781</v>
      </c>
    </row>
    <row r="120" spans="1:3" ht="15.75" thickBot="1">
      <c r="A120" s="38">
        <v>44403</v>
      </c>
      <c r="B120" s="34">
        <v>211.15</v>
      </c>
      <c r="C120" s="34">
        <v>47263771</v>
      </c>
    </row>
    <row r="121" spans="1:3" ht="15.75" thickBot="1">
      <c r="A121" s="38">
        <v>44404</v>
      </c>
      <c r="B121" s="34">
        <v>208.65</v>
      </c>
      <c r="C121" s="34">
        <v>24436949</v>
      </c>
    </row>
    <row r="122" spans="1:3" ht="15.75" thickBot="1">
      <c r="A122" s="38">
        <v>44405</v>
      </c>
      <c r="B122" s="34">
        <v>209.1</v>
      </c>
      <c r="C122" s="34">
        <v>14736840</v>
      </c>
    </row>
    <row r="123" spans="1:3" ht="15.75" thickBot="1">
      <c r="A123" s="38">
        <v>44406</v>
      </c>
      <c r="B123" s="34">
        <v>206.05</v>
      </c>
      <c r="C123" s="34">
        <v>15603733</v>
      </c>
    </row>
    <row r="124" spans="1:3" ht="15.75" thickBot="1">
      <c r="A124" s="38">
        <v>44407</v>
      </c>
      <c r="B124" s="34">
        <v>204.95</v>
      </c>
      <c r="C124" s="34">
        <v>14940336</v>
      </c>
    </row>
    <row r="125" spans="1:3" ht="15.75" thickBot="1">
      <c r="A125" s="38">
        <v>44410</v>
      </c>
      <c r="B125" s="34">
        <v>207.3</v>
      </c>
      <c r="C125" s="34">
        <v>9674128</v>
      </c>
    </row>
    <row r="126" spans="1:3" ht="15.75" thickBot="1">
      <c r="A126" s="38">
        <v>44411</v>
      </c>
      <c r="B126" s="34">
        <v>209.9</v>
      </c>
      <c r="C126" s="34">
        <v>18468527</v>
      </c>
    </row>
    <row r="127" spans="1:3" ht="15.75" thickBot="1">
      <c r="A127" s="38">
        <v>44412</v>
      </c>
      <c r="B127" s="34">
        <v>208.6</v>
      </c>
      <c r="C127" s="34">
        <v>10998260</v>
      </c>
    </row>
    <row r="128" spans="1:3" ht="15.75" thickBot="1">
      <c r="A128" s="38">
        <v>44413</v>
      </c>
      <c r="B128" s="34">
        <v>215.25</v>
      </c>
      <c r="C128" s="34">
        <v>47178466</v>
      </c>
    </row>
    <row r="129" spans="1:3" ht="15.75" thickBot="1">
      <c r="A129" s="38">
        <v>44414</v>
      </c>
      <c r="B129" s="34">
        <v>214.25</v>
      </c>
      <c r="C129" s="34">
        <v>23581637</v>
      </c>
    </row>
    <row r="130" spans="1:3" ht="15.75" thickBot="1">
      <c r="A130" s="38">
        <v>44417</v>
      </c>
      <c r="B130" s="34">
        <v>213.8</v>
      </c>
      <c r="C130" s="34">
        <v>20358146</v>
      </c>
    </row>
    <row r="131" spans="1:3" ht="15.75" thickBot="1">
      <c r="A131" s="38">
        <v>44418</v>
      </c>
      <c r="B131" s="34">
        <v>209.85</v>
      </c>
      <c r="C131" s="34">
        <v>18155926</v>
      </c>
    </row>
    <row r="132" spans="1:3" ht="15.75" thickBot="1">
      <c r="A132" s="38">
        <v>44419</v>
      </c>
      <c r="B132" s="34">
        <v>208.65</v>
      </c>
      <c r="C132" s="34">
        <v>15418634</v>
      </c>
    </row>
    <row r="133" spans="1:3" ht="15.75" thickBot="1">
      <c r="A133" s="38">
        <v>44420</v>
      </c>
      <c r="B133" s="34">
        <v>208.9</v>
      </c>
      <c r="C133" s="34">
        <v>27692208</v>
      </c>
    </row>
    <row r="134" spans="1:3" ht="15.75" thickBot="1">
      <c r="A134" s="38">
        <v>44421</v>
      </c>
      <c r="B134" s="34">
        <v>211.45</v>
      </c>
      <c r="C134" s="34">
        <v>18850939</v>
      </c>
    </row>
    <row r="135" spans="1:3" ht="15.75" thickBot="1">
      <c r="A135" s="38">
        <v>44424</v>
      </c>
      <c r="B135" s="34">
        <v>210.9</v>
      </c>
      <c r="C135" s="34">
        <v>11190075</v>
      </c>
    </row>
    <row r="136" spans="1:3" ht="15.75" thickBot="1">
      <c r="A136" s="38">
        <v>44425</v>
      </c>
      <c r="B136" s="34">
        <v>209.2</v>
      </c>
      <c r="C136" s="34">
        <v>7858486</v>
      </c>
    </row>
    <row r="137" spans="1:3" ht="15.75" thickBot="1">
      <c r="A137" s="38">
        <v>44426</v>
      </c>
      <c r="B137" s="34">
        <v>208.95</v>
      </c>
      <c r="C137" s="34">
        <v>10735658</v>
      </c>
    </row>
    <row r="138" spans="1:3" ht="15.75" thickBot="1">
      <c r="A138" s="38">
        <v>44428</v>
      </c>
      <c r="B138" s="34">
        <v>208.9</v>
      </c>
      <c r="C138" s="34">
        <v>19421004</v>
      </c>
    </row>
    <row r="139" spans="1:3" ht="15.75" thickBot="1">
      <c r="A139" s="38">
        <v>44431</v>
      </c>
      <c r="B139" s="34">
        <v>206.3</v>
      </c>
      <c r="C139" s="34">
        <v>9936365</v>
      </c>
    </row>
    <row r="140" spans="1:3" ht="15.75" thickBot="1">
      <c r="A140" s="38">
        <v>44432</v>
      </c>
      <c r="B140" s="34">
        <v>205.75</v>
      </c>
      <c r="C140" s="34">
        <v>12490094</v>
      </c>
    </row>
    <row r="141" spans="1:3" ht="15.75" thickBot="1">
      <c r="A141" s="38">
        <v>44433</v>
      </c>
      <c r="B141" s="34">
        <v>206.4</v>
      </c>
      <c r="C141" s="34">
        <v>10586894</v>
      </c>
    </row>
    <row r="142" spans="1:3" ht="15.75" thickBot="1">
      <c r="A142" s="38">
        <v>44434</v>
      </c>
      <c r="B142" s="34">
        <v>204.6</v>
      </c>
      <c r="C142" s="34">
        <v>14836173</v>
      </c>
    </row>
    <row r="143" spans="1:3" ht="15.75" thickBot="1">
      <c r="A143" s="38">
        <v>44435</v>
      </c>
      <c r="B143" s="34">
        <v>205.9</v>
      </c>
      <c r="C143" s="34">
        <v>10476384</v>
      </c>
    </row>
    <row r="144" spans="1:3" ht="15.75" thickBot="1">
      <c r="A144" s="38">
        <v>44438</v>
      </c>
      <c r="B144" s="34">
        <v>208</v>
      </c>
      <c r="C144" s="34">
        <v>12084844</v>
      </c>
    </row>
    <row r="145" spans="1:3" ht="15.75" thickBot="1">
      <c r="A145" s="38">
        <v>44439</v>
      </c>
      <c r="B145" s="34">
        <v>211.3</v>
      </c>
      <c r="C145" s="34">
        <v>25808430</v>
      </c>
    </row>
    <row r="146" spans="1:3" ht="15.75" thickBot="1">
      <c r="A146" s="38">
        <v>44440</v>
      </c>
      <c r="B146" s="34">
        <v>209.5</v>
      </c>
      <c r="C146" s="34">
        <v>16241960</v>
      </c>
    </row>
    <row r="147" spans="1:3" ht="15.75" thickBot="1">
      <c r="A147" s="38">
        <v>44441</v>
      </c>
      <c r="B147" s="34">
        <v>209.75</v>
      </c>
      <c r="C147" s="34">
        <v>14321164</v>
      </c>
    </row>
    <row r="148" spans="1:3" ht="15.75" thickBot="1">
      <c r="A148" s="38">
        <v>44442</v>
      </c>
      <c r="B148" s="34">
        <v>210.6</v>
      </c>
      <c r="C148" s="34">
        <v>10228853</v>
      </c>
    </row>
    <row r="149" spans="1:3" ht="15.75" thickBot="1">
      <c r="A149" s="38">
        <v>44445</v>
      </c>
      <c r="B149" s="34">
        <v>209.3</v>
      </c>
      <c r="C149" s="34">
        <v>10632156</v>
      </c>
    </row>
    <row r="150" spans="1:3" ht="15.75" thickBot="1">
      <c r="A150" s="38">
        <v>44446</v>
      </c>
      <c r="B150" s="34">
        <v>211.75</v>
      </c>
      <c r="C150" s="34">
        <v>37489544</v>
      </c>
    </row>
    <row r="151" spans="1:3" ht="15.75" thickBot="1">
      <c r="A151" s="38">
        <v>44447</v>
      </c>
      <c r="B151" s="34">
        <v>211.25</v>
      </c>
      <c r="C151" s="34">
        <v>17233315</v>
      </c>
    </row>
    <row r="152" spans="1:3" ht="15.75" thickBot="1">
      <c r="A152" s="38">
        <v>44448</v>
      </c>
      <c r="B152" s="34">
        <v>212.65</v>
      </c>
      <c r="C152" s="34">
        <v>19051252</v>
      </c>
    </row>
    <row r="153" spans="1:3" ht="15.75" thickBot="1">
      <c r="A153" s="38">
        <v>44452</v>
      </c>
      <c r="B153" s="34">
        <v>214.15</v>
      </c>
      <c r="C153" s="34">
        <v>16043896</v>
      </c>
    </row>
    <row r="154" spans="1:3" ht="15.75" thickBot="1">
      <c r="A154" s="38">
        <v>44453</v>
      </c>
      <c r="B154" s="34">
        <v>216.1</v>
      </c>
      <c r="C154" s="34">
        <v>19621849</v>
      </c>
    </row>
    <row r="155" spans="1:3" ht="15.75" thickBot="1">
      <c r="A155" s="38">
        <v>44454</v>
      </c>
      <c r="B155" s="34">
        <v>216</v>
      </c>
      <c r="C155" s="34">
        <v>20248758</v>
      </c>
    </row>
    <row r="156" spans="1:3" ht="15.75" thickBot="1">
      <c r="A156" s="38">
        <v>44455</v>
      </c>
      <c r="B156" s="34">
        <v>230.75</v>
      </c>
      <c r="C156" s="34">
        <v>149238901</v>
      </c>
    </row>
    <row r="157" spans="1:3" ht="15.75" thickBot="1">
      <c r="A157" s="38">
        <v>44456</v>
      </c>
      <c r="B157" s="34">
        <v>231.15</v>
      </c>
      <c r="C157" s="34">
        <v>79501805</v>
      </c>
    </row>
    <row r="158" spans="1:3" ht="15.75" thickBot="1">
      <c r="A158" s="38">
        <v>44459</v>
      </c>
      <c r="B158" s="34">
        <v>233.75</v>
      </c>
      <c r="C158" s="34">
        <v>70390969</v>
      </c>
    </row>
    <row r="159" spans="1:3" ht="15.75" thickBot="1">
      <c r="A159" s="38">
        <v>44460</v>
      </c>
      <c r="B159" s="34">
        <v>241.5</v>
      </c>
      <c r="C159" s="34">
        <v>56671832</v>
      </c>
    </row>
    <row r="160" spans="1:3" ht="15.75" thickBot="1">
      <c r="A160" s="38">
        <v>44461</v>
      </c>
      <c r="B160" s="34">
        <v>243.5</v>
      </c>
      <c r="C160" s="34">
        <v>52621868</v>
      </c>
    </row>
    <row r="161" spans="1:3" ht="15.75" thickBot="1">
      <c r="A161" s="38">
        <v>44462</v>
      </c>
      <c r="B161" s="34">
        <v>242.5</v>
      </c>
      <c r="C161" s="34">
        <v>21791090</v>
      </c>
    </row>
    <row r="162" spans="1:3" ht="15.75" thickBot="1">
      <c r="A162" s="38">
        <v>44463</v>
      </c>
      <c r="B162" s="34">
        <v>238.45</v>
      </c>
      <c r="C162" s="34">
        <v>24823291</v>
      </c>
    </row>
    <row r="163" spans="1:3" ht="15.75" thickBot="1">
      <c r="A163" s="38">
        <v>44466</v>
      </c>
      <c r="B163" s="34">
        <v>238.7</v>
      </c>
      <c r="C163" s="34">
        <v>22890540</v>
      </c>
    </row>
    <row r="164" spans="1:3" ht="15.75" thickBot="1">
      <c r="A164" s="38">
        <v>44467</v>
      </c>
      <c r="B164" s="34">
        <v>237.75</v>
      </c>
      <c r="C164" s="34">
        <v>15713947</v>
      </c>
    </row>
    <row r="165" spans="1:3" ht="15.75" thickBot="1">
      <c r="A165" s="38">
        <v>44468</v>
      </c>
      <c r="B165" s="34">
        <v>238.1</v>
      </c>
      <c r="C165" s="34">
        <v>15450046</v>
      </c>
    </row>
    <row r="166" spans="1:3" ht="15.75" thickBot="1">
      <c r="A166" s="38">
        <v>44469</v>
      </c>
      <c r="B166" s="34">
        <v>236.15</v>
      </c>
      <c r="C166" s="34">
        <v>16357902</v>
      </c>
    </row>
    <row r="167" spans="1:3" ht="15.75" thickBot="1">
      <c r="A167" s="38">
        <v>44470</v>
      </c>
      <c r="B167" s="34">
        <v>235.35</v>
      </c>
      <c r="C167" s="34">
        <v>15956143</v>
      </c>
    </row>
    <row r="168" spans="1:3" ht="15.75" thickBot="1">
      <c r="A168" s="38">
        <v>44473</v>
      </c>
      <c r="B168" s="34">
        <v>236.6</v>
      </c>
      <c r="C168" s="34">
        <v>10686552</v>
      </c>
    </row>
    <row r="169" spans="1:3" ht="15.75" thickBot="1">
      <c r="A169" s="38">
        <v>44474</v>
      </c>
      <c r="B169" s="34">
        <v>234.7</v>
      </c>
      <c r="C169" s="34">
        <v>9223597</v>
      </c>
    </row>
    <row r="170" spans="1:3" ht="15.75" thickBot="1">
      <c r="A170" s="38">
        <v>44475</v>
      </c>
      <c r="B170" s="34">
        <v>231.25</v>
      </c>
      <c r="C170" s="34">
        <v>17505160</v>
      </c>
    </row>
    <row r="171" spans="1:3" ht="15.75" thickBot="1">
      <c r="A171" s="38">
        <v>44476</v>
      </c>
      <c r="B171" s="34">
        <v>232.95</v>
      </c>
      <c r="C171" s="34">
        <v>10371535</v>
      </c>
    </row>
    <row r="172" spans="1:3" ht="15.75" thickBot="1">
      <c r="A172" s="38">
        <v>44477</v>
      </c>
      <c r="B172" s="34">
        <v>231.7</v>
      </c>
      <c r="C172" s="34">
        <v>9739240</v>
      </c>
    </row>
    <row r="173" spans="1:3" ht="15.75" thickBot="1">
      <c r="A173" s="38">
        <v>44480</v>
      </c>
      <c r="B173" s="34">
        <v>238.05</v>
      </c>
      <c r="C173" s="34">
        <v>21184428</v>
      </c>
    </row>
    <row r="174" spans="1:3" ht="15.75" thickBot="1">
      <c r="A174" s="38">
        <v>44481</v>
      </c>
      <c r="B174" s="34">
        <v>241.3</v>
      </c>
      <c r="C174" s="34">
        <v>29222028</v>
      </c>
    </row>
    <row r="175" spans="1:3" ht="15.75" thickBot="1">
      <c r="A175" s="38">
        <v>44482</v>
      </c>
      <c r="B175" s="34">
        <v>249.2</v>
      </c>
      <c r="C175" s="34">
        <v>50159625</v>
      </c>
    </row>
    <row r="176" spans="1:3" ht="15.75" thickBot="1">
      <c r="A176" s="38">
        <v>44483</v>
      </c>
      <c r="B176" s="34">
        <v>256.55</v>
      </c>
      <c r="C176" s="34">
        <v>85406902</v>
      </c>
    </row>
    <row r="177" spans="1:3" ht="15.75" thickBot="1">
      <c r="A177" s="38">
        <v>44487</v>
      </c>
      <c r="B177" s="34">
        <v>262.55</v>
      </c>
      <c r="C177" s="34">
        <v>60292901</v>
      </c>
    </row>
    <row r="178" spans="1:3" ht="15.75" thickBot="1">
      <c r="A178" s="38">
        <v>44488</v>
      </c>
      <c r="B178" s="34">
        <v>245.95</v>
      </c>
      <c r="C178" s="34">
        <v>59061766</v>
      </c>
    </row>
    <row r="179" spans="1:3" ht="15.75" thickBot="1">
      <c r="A179" s="38">
        <v>44489</v>
      </c>
      <c r="B179" s="34">
        <v>246.6</v>
      </c>
      <c r="C179" s="34">
        <v>47822165</v>
      </c>
    </row>
    <row r="180" spans="1:3" ht="15.75" thickBot="1">
      <c r="A180" s="38">
        <v>44490</v>
      </c>
      <c r="B180" s="34">
        <v>244.7</v>
      </c>
      <c r="C180" s="34">
        <v>22518727</v>
      </c>
    </row>
    <row r="181" spans="1:3" ht="15.75" thickBot="1">
      <c r="A181" s="38">
        <v>44491</v>
      </c>
      <c r="B181" s="34">
        <v>236.6</v>
      </c>
      <c r="C181" s="34">
        <v>35537151</v>
      </c>
    </row>
    <row r="182" spans="1:3" ht="15.75" thickBot="1">
      <c r="A182" s="38">
        <v>44494</v>
      </c>
      <c r="B182" s="34">
        <v>233.4</v>
      </c>
      <c r="C182" s="34">
        <v>22333919</v>
      </c>
    </row>
    <row r="183" spans="1:3" ht="15.75" thickBot="1">
      <c r="A183" s="38">
        <v>44495</v>
      </c>
      <c r="B183" s="34">
        <v>236.7</v>
      </c>
      <c r="C183" s="34">
        <v>18934170</v>
      </c>
    </row>
    <row r="184" spans="1:3" ht="15.75" thickBot="1">
      <c r="A184" s="38">
        <v>44496</v>
      </c>
      <c r="B184" s="34">
        <v>238.45</v>
      </c>
      <c r="C184" s="34">
        <v>25911499</v>
      </c>
    </row>
    <row r="185" spans="1:3" ht="15.75" thickBot="1">
      <c r="A185" s="38">
        <v>44497</v>
      </c>
      <c r="B185" s="34">
        <v>225.1</v>
      </c>
      <c r="C185" s="34">
        <v>46282465</v>
      </c>
    </row>
    <row r="186" spans="1:3" ht="15.75" thickBot="1">
      <c r="A186" s="38">
        <v>44498</v>
      </c>
      <c r="B186" s="34">
        <v>223.2</v>
      </c>
      <c r="C186" s="34">
        <v>26642108</v>
      </c>
    </row>
    <row r="187" spans="1:3" ht="15.75" thickBot="1">
      <c r="A187" s="38">
        <v>44501</v>
      </c>
      <c r="B187" s="34">
        <v>226.85</v>
      </c>
      <c r="C187" s="34">
        <v>23197539</v>
      </c>
    </row>
    <row r="188" spans="1:3" ht="15.75" thickBot="1">
      <c r="A188" s="38">
        <v>44502</v>
      </c>
      <c r="B188" s="34">
        <v>225.6</v>
      </c>
      <c r="C188" s="34">
        <v>14343859</v>
      </c>
    </row>
    <row r="189" spans="1:3" ht="15.75" thickBot="1">
      <c r="A189" s="38">
        <v>44503</v>
      </c>
      <c r="B189" s="34">
        <v>222.45</v>
      </c>
      <c r="C189" s="34">
        <v>17843327</v>
      </c>
    </row>
    <row r="190" spans="1:3" ht="15.75" thickBot="1">
      <c r="A190" s="38">
        <v>44504</v>
      </c>
      <c r="B190" s="34">
        <v>226.55</v>
      </c>
      <c r="C190" s="34">
        <v>7024796</v>
      </c>
    </row>
    <row r="191" spans="1:3" ht="15.75" thickBot="1">
      <c r="A191" s="38">
        <v>44508</v>
      </c>
      <c r="B191" s="34">
        <v>229.8</v>
      </c>
      <c r="C191" s="34">
        <v>20270558</v>
      </c>
    </row>
    <row r="192" spans="1:3" ht="15.75" thickBot="1">
      <c r="A192" s="38">
        <v>44509</v>
      </c>
      <c r="B192" s="34">
        <v>228.75</v>
      </c>
      <c r="C192" s="34">
        <v>11520817</v>
      </c>
    </row>
    <row r="193" spans="1:3" ht="15.75" thickBot="1">
      <c r="A193" s="38">
        <v>44510</v>
      </c>
      <c r="B193" s="34">
        <v>230.85</v>
      </c>
      <c r="C193" s="34">
        <v>13431108</v>
      </c>
    </row>
    <row r="194" spans="1:3" ht="15.75" thickBot="1">
      <c r="A194" s="38">
        <v>44511</v>
      </c>
      <c r="B194" s="34">
        <v>230</v>
      </c>
      <c r="C194" s="34">
        <v>8134962</v>
      </c>
    </row>
    <row r="195" spans="1:3" ht="15.75" thickBot="1">
      <c r="A195" s="38">
        <v>44512</v>
      </c>
      <c r="B195" s="34">
        <v>232.9</v>
      </c>
      <c r="C195" s="34">
        <v>11855531</v>
      </c>
    </row>
    <row r="196" spans="1:3" ht="15.75" thickBot="1">
      <c r="A196" s="38">
        <v>44515</v>
      </c>
      <c r="B196" s="34">
        <v>238.1</v>
      </c>
      <c r="C196" s="34">
        <v>38755267</v>
      </c>
    </row>
    <row r="197" spans="1:3" ht="15.75" thickBot="1">
      <c r="A197" s="38">
        <v>44516</v>
      </c>
      <c r="B197" s="34">
        <v>235.45</v>
      </c>
      <c r="C197" s="34">
        <v>14675969</v>
      </c>
    </row>
    <row r="198" spans="1:3" ht="15.75" thickBot="1">
      <c r="A198" s="38">
        <v>44517</v>
      </c>
      <c r="B198" s="34">
        <v>239.5</v>
      </c>
      <c r="C198" s="34">
        <v>46697822</v>
      </c>
    </row>
    <row r="199" spans="1:3" ht="15.75" thickBot="1">
      <c r="A199" s="38">
        <v>44518</v>
      </c>
      <c r="B199" s="34">
        <v>237.5</v>
      </c>
      <c r="C199" s="34">
        <v>20226071</v>
      </c>
    </row>
    <row r="200" spans="1:3" ht="15.75" thickBot="1">
      <c r="A200" s="38">
        <v>44522</v>
      </c>
      <c r="B200" s="34">
        <v>230.9</v>
      </c>
      <c r="C200" s="34">
        <v>22574227</v>
      </c>
    </row>
    <row r="201" spans="1:3" ht="15.75" thickBot="1">
      <c r="A201" s="38">
        <v>44523</v>
      </c>
      <c r="B201" s="34">
        <v>231.6</v>
      </c>
      <c r="C201" s="34">
        <v>13433385</v>
      </c>
    </row>
    <row r="202" spans="1:3" ht="15.75" thickBot="1">
      <c r="A202" s="38">
        <v>44524</v>
      </c>
      <c r="B202" s="34">
        <v>227.7</v>
      </c>
      <c r="C202" s="34">
        <v>14139854</v>
      </c>
    </row>
    <row r="203" spans="1:3" ht="15.75" thickBot="1">
      <c r="A203" s="38">
        <v>44525</v>
      </c>
      <c r="B203" s="34">
        <v>231.3</v>
      </c>
      <c r="C203" s="34">
        <v>23904846</v>
      </c>
    </row>
    <row r="204" spans="1:3" ht="15.75" thickBot="1">
      <c r="A204" s="38">
        <v>44526</v>
      </c>
      <c r="B204" s="34">
        <v>224</v>
      </c>
      <c r="C204" s="34">
        <v>27027022</v>
      </c>
    </row>
    <row r="205" spans="1:3" ht="15.75" thickBot="1">
      <c r="A205" s="38">
        <v>44529</v>
      </c>
      <c r="B205" s="34">
        <v>221.5</v>
      </c>
      <c r="C205" s="34">
        <v>22132952</v>
      </c>
    </row>
    <row r="206" spans="1:3" ht="15.75" thickBot="1">
      <c r="A206" s="38">
        <v>44530</v>
      </c>
      <c r="B206" s="34">
        <v>221.15</v>
      </c>
      <c r="C206" s="34">
        <v>23503453</v>
      </c>
    </row>
    <row r="207" spans="1:3" ht="15.75" thickBot="1">
      <c r="A207" s="38">
        <v>44531</v>
      </c>
      <c r="B207" s="34">
        <v>221.9</v>
      </c>
      <c r="C207" s="34">
        <v>12995800</v>
      </c>
    </row>
    <row r="208" spans="1:3" ht="15.75" thickBot="1">
      <c r="A208" s="38">
        <v>44532</v>
      </c>
      <c r="B208" s="34">
        <v>225.45</v>
      </c>
      <c r="C208" s="34">
        <v>15904846</v>
      </c>
    </row>
    <row r="209" spans="1:3" ht="15.75" thickBot="1">
      <c r="A209" s="38">
        <v>44533</v>
      </c>
      <c r="B209" s="34">
        <v>221.65</v>
      </c>
      <c r="C209" s="34">
        <v>13794647</v>
      </c>
    </row>
    <row r="210" spans="1:3" ht="15.75" thickBot="1">
      <c r="A210" s="38">
        <v>44536</v>
      </c>
      <c r="B210" s="34">
        <v>217.9</v>
      </c>
      <c r="C210" s="34">
        <v>13138355</v>
      </c>
    </row>
    <row r="211" spans="1:3" ht="15.75" thickBot="1">
      <c r="A211" s="38">
        <v>44537</v>
      </c>
      <c r="B211" s="34">
        <v>220.65</v>
      </c>
      <c r="C211" s="34">
        <v>8903842</v>
      </c>
    </row>
    <row r="212" spans="1:3" ht="15.75" thickBot="1">
      <c r="A212" s="38">
        <v>44538</v>
      </c>
      <c r="B212" s="34">
        <v>224.95</v>
      </c>
      <c r="C212" s="34">
        <v>9861847</v>
      </c>
    </row>
    <row r="213" spans="1:3" ht="15.75" thickBot="1">
      <c r="A213" s="38">
        <v>44539</v>
      </c>
      <c r="B213" s="34">
        <v>235.4</v>
      </c>
      <c r="C213" s="34">
        <v>38241864</v>
      </c>
    </row>
    <row r="214" spans="1:3" ht="15.75" thickBot="1">
      <c r="A214" s="38">
        <v>44540</v>
      </c>
      <c r="B214" s="34">
        <v>236.1</v>
      </c>
      <c r="C214" s="34">
        <v>35162889</v>
      </c>
    </row>
    <row r="215" spans="1:3" ht="15.75" thickBot="1">
      <c r="A215" s="38">
        <v>44543</v>
      </c>
      <c r="B215" s="34">
        <v>234.6</v>
      </c>
      <c r="C215" s="34">
        <v>22054342</v>
      </c>
    </row>
    <row r="216" spans="1:3" ht="15.75" thickBot="1">
      <c r="A216" s="38">
        <v>44544</v>
      </c>
      <c r="B216" s="34">
        <v>228.6</v>
      </c>
      <c r="C216" s="34">
        <v>37508445</v>
      </c>
    </row>
    <row r="217" spans="1:3" ht="15.75" thickBot="1">
      <c r="A217" s="38">
        <v>44545</v>
      </c>
      <c r="B217" s="34">
        <v>224.05</v>
      </c>
      <c r="C217" s="34">
        <v>34653042</v>
      </c>
    </row>
    <row r="218" spans="1:3" ht="15.75" thickBot="1">
      <c r="A218" s="38">
        <v>44546</v>
      </c>
      <c r="B218" s="34">
        <v>222.9</v>
      </c>
      <c r="C218" s="34">
        <v>24199205</v>
      </c>
    </row>
    <row r="219" spans="1:3" ht="15.75" thickBot="1">
      <c r="A219" s="38">
        <v>44547</v>
      </c>
      <c r="B219" s="34">
        <v>217.95</v>
      </c>
      <c r="C219" s="34">
        <v>29683982</v>
      </c>
    </row>
    <row r="220" spans="1:3" ht="15.75" thickBot="1">
      <c r="A220" s="38">
        <v>44550</v>
      </c>
      <c r="B220" s="34">
        <v>212.4</v>
      </c>
      <c r="C220" s="34">
        <v>37340790</v>
      </c>
    </row>
    <row r="221" spans="1:3" ht="15.75" thickBot="1">
      <c r="A221" s="38">
        <v>44551</v>
      </c>
      <c r="B221" s="34">
        <v>212.5</v>
      </c>
      <c r="C221" s="34">
        <v>19395604</v>
      </c>
    </row>
    <row r="222" spans="1:3" ht="15.75" thickBot="1">
      <c r="A222" s="38">
        <v>44552</v>
      </c>
      <c r="B222" s="34">
        <v>212</v>
      </c>
      <c r="C222" s="34">
        <v>17239484</v>
      </c>
    </row>
    <row r="223" spans="1:3" ht="15.75" thickBot="1">
      <c r="A223" s="38">
        <v>44553</v>
      </c>
      <c r="B223" s="34">
        <v>217.3</v>
      </c>
      <c r="C223" s="34">
        <v>22209720</v>
      </c>
    </row>
    <row r="224" spans="1:3" ht="15.75" thickBot="1">
      <c r="A224" s="38">
        <v>44554</v>
      </c>
      <c r="B224" s="34">
        <v>218</v>
      </c>
      <c r="C224" s="34">
        <v>16581585</v>
      </c>
    </row>
    <row r="225" spans="1:3" ht="15.75" thickBot="1">
      <c r="A225" s="38">
        <v>44557</v>
      </c>
      <c r="B225" s="34">
        <v>217.55</v>
      </c>
      <c r="C225" s="34">
        <v>8153106</v>
      </c>
    </row>
    <row r="226" spans="1:3" ht="15.75" thickBot="1">
      <c r="A226" s="38">
        <v>44558</v>
      </c>
      <c r="B226" s="34">
        <v>220.05</v>
      </c>
      <c r="C226" s="34">
        <v>11568803</v>
      </c>
    </row>
    <row r="227" spans="1:3" ht="15.75" thickBot="1">
      <c r="A227" s="38">
        <v>44559</v>
      </c>
      <c r="B227" s="34">
        <v>216.75</v>
      </c>
      <c r="C227" s="34">
        <v>11480954</v>
      </c>
    </row>
    <row r="228" spans="1:3" ht="15.75" thickBot="1">
      <c r="A228" s="38">
        <v>44560</v>
      </c>
      <c r="B228" s="34">
        <v>216</v>
      </c>
      <c r="C228" s="34">
        <v>9741198</v>
      </c>
    </row>
    <row r="229" spans="1:3" ht="15.75" thickBot="1">
      <c r="A229" s="38">
        <v>44561</v>
      </c>
      <c r="B229" s="34">
        <v>218.05</v>
      </c>
      <c r="C229" s="34">
        <v>7583815</v>
      </c>
    </row>
    <row r="230" spans="1:3" ht="15.75" thickBot="1">
      <c r="A230" s="38">
        <v>44564</v>
      </c>
      <c r="B230" s="34">
        <v>219.1</v>
      </c>
      <c r="C230" s="34">
        <v>7765495</v>
      </c>
    </row>
    <row r="231" spans="1:3" ht="15.75" thickBot="1">
      <c r="A231" s="38">
        <v>44565</v>
      </c>
      <c r="B231" s="34">
        <v>220.25</v>
      </c>
      <c r="C231" s="34">
        <v>9050253</v>
      </c>
    </row>
    <row r="232" spans="1:3" ht="15.75" thickBot="1">
      <c r="A232" s="38">
        <v>44566</v>
      </c>
      <c r="B232" s="34">
        <v>220.55</v>
      </c>
      <c r="C232" s="34">
        <v>11230588</v>
      </c>
    </row>
    <row r="233" spans="1:3" ht="15.75" thickBot="1">
      <c r="A233" s="38">
        <v>44567</v>
      </c>
      <c r="B233" s="34">
        <v>218.7</v>
      </c>
      <c r="C233" s="34">
        <v>8950589</v>
      </c>
    </row>
    <row r="234" spans="1:3" ht="15.75" thickBot="1">
      <c r="A234" s="38">
        <v>44568</v>
      </c>
      <c r="B234" s="34">
        <v>218.4</v>
      </c>
      <c r="C234" s="34">
        <v>8855041</v>
      </c>
    </row>
    <row r="235" spans="1:3" ht="15.75" thickBot="1">
      <c r="A235" s="38">
        <v>44571</v>
      </c>
      <c r="B235" s="34">
        <v>223.3</v>
      </c>
      <c r="C235" s="34">
        <v>15841299</v>
      </c>
    </row>
    <row r="236" spans="1:3" ht="15.75" thickBot="1">
      <c r="A236" s="38">
        <v>44572</v>
      </c>
      <c r="B236" s="34">
        <v>221.95</v>
      </c>
      <c r="C236" s="34">
        <v>8020695</v>
      </c>
    </row>
    <row r="237" spans="1:3" ht="15.75" thickBot="1">
      <c r="A237" s="38">
        <v>44573</v>
      </c>
      <c r="B237" s="34">
        <v>222.75</v>
      </c>
      <c r="C237" s="34">
        <v>13158894</v>
      </c>
    </row>
    <row r="238" spans="1:3" ht="15.75" thickBot="1">
      <c r="A238" s="38">
        <v>44574</v>
      </c>
      <c r="B238" s="34">
        <v>223.95</v>
      </c>
      <c r="C238" s="34">
        <v>11501088</v>
      </c>
    </row>
    <row r="239" spans="1:3" ht="15.75" thickBot="1">
      <c r="A239" s="38">
        <v>44575</v>
      </c>
      <c r="B239" s="34">
        <v>222.6</v>
      </c>
      <c r="C239" s="34">
        <v>10569725</v>
      </c>
    </row>
    <row r="240" spans="1:3" ht="15.75" thickBot="1">
      <c r="A240" s="38">
        <v>44578</v>
      </c>
      <c r="B240" s="34">
        <v>224.6</v>
      </c>
      <c r="C240" s="34">
        <v>12318313</v>
      </c>
    </row>
    <row r="241" spans="1:3" ht="15.75" thickBot="1">
      <c r="A241" s="38">
        <v>44579</v>
      </c>
      <c r="B241" s="34">
        <v>220.75</v>
      </c>
      <c r="C241" s="34">
        <v>14394097</v>
      </c>
    </row>
    <row r="242" spans="1:3" ht="15.75" thickBot="1">
      <c r="A242" s="38">
        <v>44580</v>
      </c>
      <c r="B242" s="34">
        <v>220.35</v>
      </c>
      <c r="C242" s="34">
        <v>11473796</v>
      </c>
    </row>
    <row r="243" spans="1:3" ht="15.75" thickBot="1">
      <c r="A243" s="38">
        <v>44581</v>
      </c>
      <c r="B243" s="34">
        <v>218.75</v>
      </c>
      <c r="C243" s="34">
        <v>17329896</v>
      </c>
    </row>
    <row r="244" spans="1:3" ht="15.75" thickBot="1">
      <c r="A244" s="38">
        <v>44582</v>
      </c>
      <c r="B244" s="34">
        <v>217.05</v>
      </c>
      <c r="C244" s="34">
        <v>16586264</v>
      </c>
    </row>
    <row r="245" spans="1:3" ht="15.75" thickBot="1">
      <c r="A245" s="38">
        <v>44585</v>
      </c>
      <c r="B245" s="34">
        <v>211.8</v>
      </c>
      <c r="C245" s="34">
        <v>17354942</v>
      </c>
    </row>
    <row r="246" spans="1:3" ht="15.75" thickBot="1">
      <c r="A246" s="38">
        <v>44586</v>
      </c>
      <c r="B246" s="34">
        <v>214.3</v>
      </c>
      <c r="C246" s="34">
        <v>18322935</v>
      </c>
    </row>
    <row r="247" spans="1:3" ht="15.75" thickBot="1">
      <c r="A247" s="38">
        <v>44588</v>
      </c>
      <c r="B247" s="34">
        <v>214.6</v>
      </c>
      <c r="C247" s="34">
        <v>23149684</v>
      </c>
    </row>
    <row r="248" spans="1:3" ht="15.75" thickBot="1">
      <c r="A248" s="38">
        <v>44589</v>
      </c>
      <c r="B248" s="34">
        <v>217.6</v>
      </c>
      <c r="C248" s="34">
        <v>15276991</v>
      </c>
    </row>
    <row r="249" spans="1:3" ht="15.75" thickBot="1">
      <c r="A249" s="38">
        <v>44592</v>
      </c>
      <c r="B249" s="34">
        <v>220.2</v>
      </c>
      <c r="C249" s="34">
        <v>15039006</v>
      </c>
    </row>
    <row r="250" spans="1:3" ht="15.75" thickBot="1">
      <c r="A250" s="38">
        <v>44593</v>
      </c>
      <c r="B250" s="34">
        <v>227.75</v>
      </c>
      <c r="C250" s="34">
        <v>43207074</v>
      </c>
    </row>
    <row r="251" spans="1:3" ht="15.75" thickBot="1">
      <c r="A251" s="38">
        <v>44594</v>
      </c>
      <c r="B251" s="34">
        <v>232.15</v>
      </c>
      <c r="C251" s="34">
        <v>41130638</v>
      </c>
    </row>
    <row r="252" spans="1:3" ht="15.75" thickBot="1">
      <c r="A252" s="38">
        <v>44595</v>
      </c>
      <c r="B252" s="34">
        <v>234.45</v>
      </c>
      <c r="C252" s="34">
        <v>27845963</v>
      </c>
    </row>
    <row r="253" spans="1:3" ht="15.75" thickBot="1">
      <c r="A253" s="38">
        <v>44596</v>
      </c>
      <c r="B253" s="34">
        <v>234.3</v>
      </c>
      <c r="C253" s="34">
        <v>56705951</v>
      </c>
    </row>
    <row r="254" spans="1:3" ht="15.75" thickBot="1">
      <c r="A254" s="38">
        <v>44599</v>
      </c>
      <c r="B254" s="34">
        <v>230.2</v>
      </c>
      <c r="C254" s="34">
        <v>24171083</v>
      </c>
    </row>
    <row r="255" spans="1:3" ht="15.75" thickBot="1">
      <c r="A255" s="38">
        <v>44600</v>
      </c>
      <c r="B255" s="34">
        <v>231.25</v>
      </c>
      <c r="C255" s="34">
        <v>16201280</v>
      </c>
    </row>
    <row r="256" spans="1:3" ht="15.75" thickBot="1">
      <c r="A256" s="38">
        <v>44601</v>
      </c>
      <c r="B256" s="34">
        <v>230.15</v>
      </c>
      <c r="C256" s="34">
        <v>11893807</v>
      </c>
    </row>
    <row r="257" spans="1:3" ht="15.75" thickBot="1">
      <c r="A257" s="38">
        <v>44602</v>
      </c>
      <c r="B257" s="34">
        <v>232.25</v>
      </c>
      <c r="C257" s="34">
        <v>19563580</v>
      </c>
    </row>
    <row r="258" spans="1:3" ht="15.75" thickBot="1">
      <c r="A258" s="38">
        <v>44603</v>
      </c>
      <c r="B258" s="34">
        <v>232.45</v>
      </c>
      <c r="C258" s="34">
        <v>18096561</v>
      </c>
    </row>
    <row r="259" spans="1:3" ht="15.75" thickBot="1">
      <c r="A259" s="38">
        <v>44606</v>
      </c>
      <c r="B259" s="34">
        <v>219.45</v>
      </c>
      <c r="C259" s="34">
        <v>22745228</v>
      </c>
    </row>
    <row r="260" spans="1:3" ht="15.75" thickBot="1">
      <c r="A260" s="38">
        <v>44607</v>
      </c>
      <c r="B260" s="34">
        <v>223</v>
      </c>
      <c r="C260" s="34">
        <v>12875311</v>
      </c>
    </row>
    <row r="261" spans="1:3" ht="15.75" thickBot="1">
      <c r="A261" s="38">
        <v>44608</v>
      </c>
      <c r="B261" s="34">
        <v>222.75</v>
      </c>
      <c r="C261" s="34">
        <v>11231596</v>
      </c>
    </row>
    <row r="262" spans="1:3" ht="15.75" thickBot="1">
      <c r="A262" s="38">
        <v>44609</v>
      </c>
      <c r="B262" s="34">
        <v>222.65</v>
      </c>
      <c r="C262" s="34">
        <v>14024149</v>
      </c>
    </row>
    <row r="263" spans="1:3" ht="15.75" thickBot="1">
      <c r="A263" s="38">
        <v>44610</v>
      </c>
      <c r="B263" s="34">
        <v>221.9</v>
      </c>
      <c r="C263" s="34">
        <v>8670947</v>
      </c>
    </row>
    <row r="264" spans="1:3" ht="15.75" thickBot="1">
      <c r="A264" s="38">
        <v>44613</v>
      </c>
      <c r="B264" s="34">
        <v>218</v>
      </c>
      <c r="C264" s="34">
        <v>16129017</v>
      </c>
    </row>
    <row r="265" spans="1:3" ht="15.75" thickBot="1">
      <c r="A265" s="38">
        <v>44614</v>
      </c>
      <c r="B265" s="34">
        <v>214.85</v>
      </c>
      <c r="C265" s="34">
        <v>25749340</v>
      </c>
    </row>
    <row r="266" spans="1:3" ht="15.75" thickBot="1">
      <c r="A266" s="38">
        <v>44615</v>
      </c>
      <c r="B266" s="34">
        <v>215.95</v>
      </c>
      <c r="C266" s="34">
        <v>11014283</v>
      </c>
    </row>
    <row r="267" spans="1:3" ht="15.75" thickBot="1">
      <c r="A267" s="38">
        <v>44616</v>
      </c>
      <c r="B267" s="34">
        <v>208.5</v>
      </c>
      <c r="C267" s="34">
        <v>41341523</v>
      </c>
    </row>
    <row r="268" spans="1:3" ht="15.75" thickBot="1">
      <c r="A268" s="38">
        <v>44617</v>
      </c>
      <c r="B268" s="34">
        <v>213.95</v>
      </c>
      <c r="C268" s="34">
        <v>23633656</v>
      </c>
    </row>
    <row r="269" spans="1:3" ht="15.75" thickBot="1">
      <c r="A269" s="38">
        <v>44620</v>
      </c>
      <c r="B269" s="34">
        <v>215.85</v>
      </c>
      <c r="C269" s="34">
        <v>20034633</v>
      </c>
    </row>
    <row r="270" spans="1:3" ht="15.75" thickBot="1">
      <c r="A270" s="38">
        <v>44622</v>
      </c>
      <c r="B270" s="34">
        <v>215.3</v>
      </c>
      <c r="C270" s="34">
        <v>19295994</v>
      </c>
    </row>
    <row r="271" spans="1:3" ht="15.75" thickBot="1">
      <c r="A271" s="38">
        <v>44623</v>
      </c>
      <c r="B271" s="34">
        <v>219.4</v>
      </c>
      <c r="C271" s="34">
        <v>28532668</v>
      </c>
    </row>
    <row r="272" spans="1:3" ht="15.75" thickBot="1">
      <c r="A272" s="38">
        <v>44624</v>
      </c>
      <c r="B272" s="34">
        <v>225.5</v>
      </c>
      <c r="C272" s="34">
        <v>66835736</v>
      </c>
    </row>
    <row r="273" spans="1:3" ht="15.75" thickBot="1">
      <c r="A273" s="38">
        <v>44627</v>
      </c>
      <c r="B273" s="34">
        <v>224.95</v>
      </c>
      <c r="C273" s="34">
        <v>45258669</v>
      </c>
    </row>
    <row r="274" spans="1:3" ht="15.75" thickBot="1">
      <c r="A274" s="38">
        <v>44628</v>
      </c>
      <c r="B274" s="34">
        <v>226.9</v>
      </c>
      <c r="C274" s="34">
        <v>36036336</v>
      </c>
    </row>
    <row r="275" spans="1:3" ht="15.75" thickBot="1">
      <c r="A275" s="38">
        <v>44629</v>
      </c>
      <c r="B275" s="34">
        <v>229.25</v>
      </c>
      <c r="C275" s="34">
        <v>42294906</v>
      </c>
    </row>
    <row r="276" spans="1:3" ht="15.75" thickBot="1">
      <c r="A276" s="38">
        <v>44630</v>
      </c>
      <c r="B276" s="34">
        <v>232</v>
      </c>
      <c r="C276" s="34">
        <v>36132245</v>
      </c>
    </row>
    <row r="277" spans="1:3" ht="15.75" thickBot="1">
      <c r="A277" s="38">
        <v>44631</v>
      </c>
      <c r="B277" s="34">
        <v>236.35</v>
      </c>
      <c r="C277" s="34">
        <v>41699184</v>
      </c>
    </row>
    <row r="278" spans="1:3" ht="15.75" thickBot="1">
      <c r="A278" s="38">
        <v>44634</v>
      </c>
      <c r="B278" s="34">
        <v>239</v>
      </c>
      <c r="C278" s="34">
        <v>35113638</v>
      </c>
    </row>
    <row r="279" spans="1:3" ht="15.75" thickBot="1">
      <c r="A279" s="38">
        <v>44635</v>
      </c>
      <c r="B279" s="34">
        <v>237.85</v>
      </c>
      <c r="C279" s="34">
        <v>32998305</v>
      </c>
    </row>
    <row r="280" spans="1:3" ht="15.75" thickBot="1">
      <c r="A280" s="38">
        <v>44636</v>
      </c>
      <c r="B280" s="34">
        <v>242.6</v>
      </c>
      <c r="C280" s="34">
        <v>21629521</v>
      </c>
    </row>
    <row r="281" spans="1:3" ht="15.75" thickBot="1">
      <c r="A281" s="38">
        <v>44637</v>
      </c>
      <c r="B281" s="34">
        <v>244.9</v>
      </c>
      <c r="C281" s="34">
        <v>34223740</v>
      </c>
    </row>
    <row r="282" spans="1:3" ht="15.75" thickBot="1">
      <c r="A282" s="38">
        <v>44641</v>
      </c>
      <c r="B282" s="34">
        <v>244.5</v>
      </c>
      <c r="C282" s="34">
        <v>27975134</v>
      </c>
    </row>
    <row r="283" spans="1:3" ht="15.75" thickBot="1">
      <c r="A283" s="38">
        <v>44642</v>
      </c>
      <c r="B283" s="34">
        <v>249.75</v>
      </c>
      <c r="C283" s="34">
        <v>36945426</v>
      </c>
    </row>
    <row r="284" spans="1:3" ht="15.75" thickBot="1">
      <c r="A284" s="38">
        <v>44643</v>
      </c>
      <c r="B284" s="34">
        <v>252</v>
      </c>
      <c r="C284" s="34">
        <v>40491633</v>
      </c>
    </row>
    <row r="285" spans="1:3" ht="15.75" thickBot="1">
      <c r="A285" s="38">
        <v>44644</v>
      </c>
      <c r="B285" s="34">
        <v>254.85</v>
      </c>
      <c r="C285" s="34">
        <v>38239419</v>
      </c>
    </row>
    <row r="286" spans="1:3" ht="15.75" thickBot="1">
      <c r="A286" s="38">
        <v>44645</v>
      </c>
      <c r="B286" s="34">
        <v>253.35</v>
      </c>
      <c r="C286" s="34">
        <v>29284643</v>
      </c>
    </row>
    <row r="287" spans="1:3" ht="15.75" thickBot="1">
      <c r="A287" s="38">
        <v>44648</v>
      </c>
      <c r="B287" s="34">
        <v>257.05</v>
      </c>
      <c r="C287" s="34">
        <v>24916402</v>
      </c>
    </row>
    <row r="288" spans="1:3" ht="15.75" thickBot="1">
      <c r="A288" s="38">
        <v>44649</v>
      </c>
      <c r="B288" s="34">
        <v>254.6</v>
      </c>
      <c r="C288" s="34">
        <v>18122714</v>
      </c>
    </row>
    <row r="289" spans="1:3" ht="15.75" thickBot="1">
      <c r="A289" s="38">
        <v>44650</v>
      </c>
      <c r="B289" s="34">
        <v>249.2</v>
      </c>
      <c r="C289" s="34">
        <v>17603827</v>
      </c>
    </row>
    <row r="290" spans="1:3" ht="15.75" thickBot="1">
      <c r="A290" s="38">
        <v>44651</v>
      </c>
      <c r="B290" s="34">
        <v>250.65</v>
      </c>
      <c r="C290" s="34">
        <v>25656796</v>
      </c>
    </row>
    <row r="291" spans="1:3" ht="15.75" thickBot="1">
      <c r="A291" s="38">
        <v>44652</v>
      </c>
      <c r="B291" s="34">
        <v>253.3</v>
      </c>
      <c r="C291" s="34">
        <v>14305709</v>
      </c>
    </row>
    <row r="292" spans="1:3" ht="15.75" thickBot="1">
      <c r="A292" s="38">
        <v>44655</v>
      </c>
      <c r="B292" s="34">
        <v>255.45</v>
      </c>
      <c r="C292" s="34">
        <v>15907398</v>
      </c>
    </row>
    <row r="293" spans="1:3" ht="15.75" thickBot="1">
      <c r="A293" s="38">
        <v>44656</v>
      </c>
      <c r="B293" s="34">
        <v>259.45</v>
      </c>
      <c r="C293" s="34">
        <v>27183142</v>
      </c>
    </row>
    <row r="294" spans="1:3" ht="15.75" thickBot="1">
      <c r="A294" s="38">
        <v>44657</v>
      </c>
      <c r="B294" s="34">
        <v>259.60000000000002</v>
      </c>
      <c r="C294" s="34">
        <v>19597941</v>
      </c>
    </row>
    <row r="295" spans="1:3" ht="15.75" thickBot="1">
      <c r="A295" s="38">
        <v>44658</v>
      </c>
      <c r="B295" s="34">
        <v>256.64999999999998</v>
      </c>
      <c r="C295" s="34">
        <v>16061089</v>
      </c>
    </row>
    <row r="296" spans="1:3" ht="15.75" thickBot="1">
      <c r="A296" s="38">
        <v>44659</v>
      </c>
      <c r="B296" s="34">
        <v>267.8</v>
      </c>
      <c r="C296" s="34">
        <v>37826800</v>
      </c>
    </row>
    <row r="297" spans="1:3" ht="15.75" thickBot="1">
      <c r="A297" s="38">
        <v>44662</v>
      </c>
      <c r="B297" s="34">
        <v>267.5</v>
      </c>
      <c r="C297" s="34">
        <v>46147653</v>
      </c>
    </row>
    <row r="298" spans="1:3" ht="15.75" thickBot="1">
      <c r="A298" s="38">
        <v>44663</v>
      </c>
      <c r="B298" s="34">
        <v>264.8</v>
      </c>
      <c r="C298" s="34">
        <v>23553762</v>
      </c>
    </row>
    <row r="299" spans="1:3" ht="15.75" thickBot="1">
      <c r="A299" s="38">
        <v>44664</v>
      </c>
      <c r="B299" s="34">
        <v>269.55</v>
      </c>
      <c r="C299" s="34">
        <v>21414383</v>
      </c>
    </row>
    <row r="300" spans="1:3" ht="15.75" thickBot="1">
      <c r="A300" s="38">
        <v>44669</v>
      </c>
      <c r="B300" s="34">
        <v>270.10000000000002</v>
      </c>
      <c r="C300" s="34">
        <v>24399444</v>
      </c>
    </row>
    <row r="301" spans="1:3" ht="15.75" thickBot="1">
      <c r="A301" s="38">
        <v>44670</v>
      </c>
      <c r="B301" s="34">
        <v>261.55</v>
      </c>
      <c r="C301" s="34">
        <v>23380138</v>
      </c>
    </row>
    <row r="302" spans="1:3" ht="15.75" thickBot="1">
      <c r="A302" s="38">
        <v>44671</v>
      </c>
      <c r="B302" s="34">
        <v>259.55</v>
      </c>
      <c r="C302" s="34">
        <v>24510612</v>
      </c>
    </row>
    <row r="303" spans="1:3" ht="15.75" thickBot="1">
      <c r="A303" s="38">
        <v>44672</v>
      </c>
      <c r="B303" s="34">
        <v>260.39999999999998</v>
      </c>
      <c r="C303" s="34">
        <v>23412279</v>
      </c>
    </row>
    <row r="304" spans="1:3" ht="15.75" thickBot="1">
      <c r="A304" s="38">
        <v>44673</v>
      </c>
      <c r="B304" s="34">
        <v>261.10000000000002</v>
      </c>
      <c r="C304" s="34">
        <v>15671273</v>
      </c>
    </row>
    <row r="305" spans="1:3" ht="15.75" thickBot="1">
      <c r="A305" s="38">
        <v>44676</v>
      </c>
      <c r="B305" s="34">
        <v>255.25</v>
      </c>
      <c r="C305" s="34">
        <v>24208645</v>
      </c>
    </row>
    <row r="306" spans="1:3" ht="15.75" thickBot="1">
      <c r="A306" s="38">
        <v>44677</v>
      </c>
      <c r="B306" s="34">
        <v>258.95</v>
      </c>
      <c r="C306" s="34">
        <v>20536714</v>
      </c>
    </row>
    <row r="307" spans="1:3" ht="15.75" thickBot="1">
      <c r="A307" s="38">
        <v>44678</v>
      </c>
      <c r="B307" s="34">
        <v>257.5</v>
      </c>
      <c r="C307" s="34">
        <v>16580824</v>
      </c>
    </row>
    <row r="308" spans="1:3" ht="15.75" thickBot="1">
      <c r="A308" s="38">
        <v>44679</v>
      </c>
      <c r="B308" s="34">
        <v>261.10000000000002</v>
      </c>
      <c r="C308" s="34">
        <v>27924384</v>
      </c>
    </row>
    <row r="309" spans="1:3" ht="15.75" thickBot="1">
      <c r="A309" s="38">
        <v>44680</v>
      </c>
      <c r="B309" s="34">
        <v>259.55</v>
      </c>
      <c r="C309" s="34">
        <v>20419904</v>
      </c>
    </row>
    <row r="310" spans="1:3" ht="15.75" thickBot="1">
      <c r="A310" s="38">
        <v>44683</v>
      </c>
      <c r="B310" s="34">
        <v>263.14999999999998</v>
      </c>
      <c r="C310" s="34">
        <v>18965820</v>
      </c>
    </row>
    <row r="311" spans="1:3" ht="15.75" thickBot="1">
      <c r="A311" s="38">
        <v>44685</v>
      </c>
      <c r="B311" s="34">
        <v>259.75</v>
      </c>
      <c r="C311" s="34">
        <v>25951999</v>
      </c>
    </row>
    <row r="312" spans="1:3" ht="15.75" thickBot="1">
      <c r="A312" s="38">
        <v>44686</v>
      </c>
      <c r="B312" s="34">
        <v>262.05</v>
      </c>
      <c r="C312" s="34">
        <v>17932895</v>
      </c>
    </row>
    <row r="313" spans="1:3" ht="15.75" thickBot="1">
      <c r="A313" s="38">
        <v>44687</v>
      </c>
      <c r="B313" s="34">
        <v>266.64999999999998</v>
      </c>
      <c r="C313" s="34">
        <v>34490123</v>
      </c>
    </row>
    <row r="314" spans="1:3" ht="15.75" thickBot="1">
      <c r="A314" s="38">
        <v>44690</v>
      </c>
      <c r="B314" s="34">
        <v>262.95</v>
      </c>
      <c r="C314" s="34">
        <v>21403710</v>
      </c>
    </row>
    <row r="315" spans="1:3" ht="15.75" thickBot="1">
      <c r="A315" s="38">
        <v>44691</v>
      </c>
      <c r="B315" s="34">
        <v>259.75</v>
      </c>
      <c r="C315" s="34">
        <v>18033260</v>
      </c>
    </row>
    <row r="316" spans="1:3" ht="15.75" thickBot="1">
      <c r="A316" s="38">
        <v>44692</v>
      </c>
      <c r="B316" s="34">
        <v>255.65</v>
      </c>
      <c r="C316" s="34">
        <v>17344099</v>
      </c>
    </row>
    <row r="317" spans="1:3" ht="15.75" thickBot="1">
      <c r="A317" s="38">
        <v>44693</v>
      </c>
      <c r="B317" s="34">
        <v>252.9</v>
      </c>
      <c r="C317" s="34">
        <v>20044726</v>
      </c>
    </row>
    <row r="318" spans="1:3" ht="15.75" thickBot="1">
      <c r="A318" s="38">
        <v>44694</v>
      </c>
      <c r="B318" s="34">
        <v>258.60000000000002</v>
      </c>
      <c r="C318" s="34">
        <v>11921627</v>
      </c>
    </row>
    <row r="319" spans="1:3" ht="15.75" thickBot="1">
      <c r="A319" s="38">
        <v>44697</v>
      </c>
      <c r="B319" s="34">
        <v>254.1</v>
      </c>
      <c r="C319" s="34">
        <v>8186859</v>
      </c>
    </row>
    <row r="320" spans="1:3" ht="15.75" thickBot="1">
      <c r="A320" s="38">
        <v>44698</v>
      </c>
      <c r="B320" s="34">
        <v>264.7</v>
      </c>
      <c r="C320" s="34">
        <v>17797974</v>
      </c>
    </row>
    <row r="321" spans="1:3" ht="15.75" thickBot="1">
      <c r="A321" s="38">
        <v>44699</v>
      </c>
      <c r="B321" s="34">
        <v>266.8</v>
      </c>
      <c r="C321" s="34">
        <v>20200332</v>
      </c>
    </row>
    <row r="322" spans="1:3" ht="15.75" thickBot="1">
      <c r="A322" s="38">
        <v>44700</v>
      </c>
      <c r="B322" s="34">
        <v>275.64999999999998</v>
      </c>
      <c r="C322" s="34">
        <v>78287713</v>
      </c>
    </row>
    <row r="323" spans="1:3" ht="15.75" thickBot="1">
      <c r="A323" s="38">
        <v>44701</v>
      </c>
      <c r="B323" s="34">
        <v>280</v>
      </c>
      <c r="C323" s="34">
        <v>32370771</v>
      </c>
    </row>
    <row r="324" spans="1:3" ht="15.75" thickBot="1">
      <c r="A324" s="38">
        <v>44704</v>
      </c>
      <c r="B324" s="34">
        <v>274.5</v>
      </c>
      <c r="C324" s="34">
        <v>21700165</v>
      </c>
    </row>
    <row r="325" spans="1:3" ht="15.75" thickBot="1">
      <c r="A325" s="38">
        <v>44705</v>
      </c>
      <c r="B325" s="34">
        <v>270.85000000000002</v>
      </c>
      <c r="C325" s="34">
        <v>15547968</v>
      </c>
    </row>
    <row r="326" spans="1:3" ht="15.75" thickBot="1">
      <c r="A326" s="38">
        <v>44706</v>
      </c>
      <c r="B326" s="34">
        <v>272.7</v>
      </c>
      <c r="C326" s="34">
        <v>15288648</v>
      </c>
    </row>
    <row r="327" spans="1:3" ht="15.75" thickBot="1">
      <c r="A327" s="38">
        <v>44707</v>
      </c>
      <c r="B327" s="34">
        <v>266.7</v>
      </c>
      <c r="C327" s="34">
        <v>18420159</v>
      </c>
    </row>
    <row r="328" spans="1:3" ht="15.75" thickBot="1">
      <c r="A328" s="38">
        <v>44708</v>
      </c>
      <c r="B328" s="34">
        <v>269.2</v>
      </c>
      <c r="C328" s="34">
        <v>13468067</v>
      </c>
    </row>
    <row r="329" spans="1:3" ht="15.75" thickBot="1">
      <c r="A329" s="38">
        <v>44711</v>
      </c>
      <c r="B329" s="34">
        <v>269.05</v>
      </c>
      <c r="C329" s="34">
        <v>11819102</v>
      </c>
    </row>
    <row r="330" spans="1:3" ht="15.75" thickBot="1">
      <c r="A330" s="38">
        <v>44712</v>
      </c>
      <c r="B330" s="34">
        <v>270.64999999999998</v>
      </c>
      <c r="C330" s="34">
        <v>23208345</v>
      </c>
    </row>
    <row r="331" spans="1:3" ht="15.75" thickBot="1">
      <c r="A331" s="38">
        <v>44713</v>
      </c>
      <c r="B331" s="34">
        <v>271.85000000000002</v>
      </c>
      <c r="C331" s="34">
        <v>14699792</v>
      </c>
    </row>
    <row r="332" spans="1:3" ht="15.75" thickBot="1">
      <c r="A332" s="38">
        <v>44714</v>
      </c>
      <c r="B332" s="34">
        <v>273.5</v>
      </c>
      <c r="C332" s="34">
        <v>14240994</v>
      </c>
    </row>
    <row r="333" spans="1:3" ht="15.75" thickBot="1">
      <c r="A333" s="38">
        <v>44715</v>
      </c>
      <c r="B333" s="34">
        <v>272.7</v>
      </c>
      <c r="C333" s="34">
        <v>12487862</v>
      </c>
    </row>
    <row r="334" spans="1:3" ht="15.75" thickBot="1">
      <c r="A334" s="38">
        <v>44718</v>
      </c>
      <c r="B334" s="34">
        <v>274.8</v>
      </c>
      <c r="C334" s="34">
        <v>10925182</v>
      </c>
    </row>
    <row r="335" spans="1:3" ht="15.75" thickBot="1">
      <c r="A335" s="38">
        <v>44719</v>
      </c>
      <c r="B335" s="34">
        <v>273.89999999999998</v>
      </c>
      <c r="C335" s="34">
        <v>10828539</v>
      </c>
    </row>
    <row r="336" spans="1:3" ht="15.75" thickBot="1">
      <c r="A336" s="38">
        <v>44720</v>
      </c>
      <c r="B336" s="34">
        <v>267.89999999999998</v>
      </c>
      <c r="C336" s="34">
        <v>14361969</v>
      </c>
    </row>
    <row r="337" spans="1:3" ht="15.75" thickBot="1">
      <c r="A337" s="38">
        <v>44721</v>
      </c>
      <c r="B337" s="34">
        <v>270.85000000000002</v>
      </c>
      <c r="C337" s="34">
        <v>9860194</v>
      </c>
    </row>
    <row r="338" spans="1:3" ht="15.75" thickBot="1">
      <c r="A338" s="38">
        <v>44722</v>
      </c>
      <c r="B338" s="34">
        <v>270.14999999999998</v>
      </c>
      <c r="C338" s="34">
        <v>8371061</v>
      </c>
    </row>
    <row r="339" spans="1:3" ht="15.75" thickBot="1">
      <c r="A339" s="38">
        <v>44725</v>
      </c>
      <c r="B339" s="34">
        <v>264.64999999999998</v>
      </c>
      <c r="C339" s="34">
        <v>11092690</v>
      </c>
    </row>
    <row r="340" spans="1:3" ht="15.75" thickBot="1">
      <c r="A340" s="38">
        <v>44726</v>
      </c>
      <c r="B340" s="34">
        <v>265.45</v>
      </c>
      <c r="C340" s="34">
        <v>7422193</v>
      </c>
    </row>
    <row r="341" spans="1:3" ht="15.75" thickBot="1">
      <c r="A341" s="38">
        <v>44727</v>
      </c>
      <c r="B341" s="34">
        <v>263.39999999999998</v>
      </c>
      <c r="C341" s="34">
        <v>5059474</v>
      </c>
    </row>
    <row r="342" spans="1:3" ht="15.75" thickBot="1">
      <c r="A342" s="38">
        <v>44728</v>
      </c>
      <c r="B342" s="34">
        <v>260.7</v>
      </c>
      <c r="C342" s="34">
        <v>14293357</v>
      </c>
    </row>
    <row r="343" spans="1:3" ht="15.75" thickBot="1">
      <c r="A343" s="38">
        <v>44729</v>
      </c>
      <c r="B343" s="34">
        <v>263.3</v>
      </c>
      <c r="C343" s="34">
        <v>16654660</v>
      </c>
    </row>
    <row r="344" spans="1:3" ht="15.75" thickBot="1">
      <c r="A344" s="38">
        <v>44732</v>
      </c>
      <c r="B344" s="34">
        <v>264.10000000000002</v>
      </c>
      <c r="C344" s="34">
        <v>17081136</v>
      </c>
    </row>
    <row r="345" spans="1:3" ht="15.75" thickBot="1">
      <c r="A345" s="38">
        <v>44733</v>
      </c>
      <c r="B345" s="34">
        <v>269.89999999999998</v>
      </c>
      <c r="C345" s="34">
        <v>13883034</v>
      </c>
    </row>
    <row r="346" spans="1:3" ht="15.75" thickBot="1">
      <c r="A346" s="38">
        <v>44734</v>
      </c>
      <c r="B346" s="34">
        <v>265.3</v>
      </c>
      <c r="C346" s="34">
        <v>11320918</v>
      </c>
    </row>
    <row r="347" spans="1:3" ht="15.75" thickBot="1">
      <c r="A347" s="38">
        <v>44735</v>
      </c>
      <c r="B347" s="34">
        <v>265.5</v>
      </c>
      <c r="C347" s="34">
        <v>9067252</v>
      </c>
    </row>
    <row r="348" spans="1:3" ht="15.75" thickBot="1">
      <c r="A348" s="38">
        <v>44736</v>
      </c>
      <c r="B348" s="34">
        <v>265.85000000000002</v>
      </c>
      <c r="C348" s="34">
        <v>7013132</v>
      </c>
    </row>
    <row r="349" spans="1:3" ht="15.75" thickBot="1">
      <c r="A349" s="38">
        <v>44739</v>
      </c>
      <c r="B349" s="34">
        <v>269.95</v>
      </c>
      <c r="C349" s="34">
        <v>8172964</v>
      </c>
    </row>
    <row r="350" spans="1:3" ht="15.75" thickBot="1">
      <c r="A350" s="38">
        <v>44740</v>
      </c>
      <c r="B350" s="34">
        <v>271.85000000000002</v>
      </c>
      <c r="C350" s="34">
        <v>11240154</v>
      </c>
    </row>
    <row r="351" spans="1:3" ht="15.75" thickBot="1">
      <c r="A351" s="38">
        <v>44741</v>
      </c>
      <c r="B351" s="34">
        <v>274.05</v>
      </c>
      <c r="C351" s="34">
        <v>16018449</v>
      </c>
    </row>
    <row r="352" spans="1:3" ht="15.75" thickBot="1">
      <c r="A352" s="38">
        <v>44742</v>
      </c>
      <c r="B352" s="34">
        <v>273.5</v>
      </c>
      <c r="C352" s="34">
        <v>19262054</v>
      </c>
    </row>
    <row r="353" spans="1:3" ht="15.75" thickBot="1">
      <c r="A353" s="38">
        <v>44743</v>
      </c>
      <c r="B353" s="34">
        <v>284.35000000000002</v>
      </c>
      <c r="C353" s="34">
        <v>35165665</v>
      </c>
    </row>
    <row r="354" spans="1:3" ht="15.75" thickBot="1">
      <c r="A354" s="38">
        <v>44746</v>
      </c>
      <c r="B354" s="34">
        <v>291.89999999999998</v>
      </c>
      <c r="C354" s="34">
        <v>39881736</v>
      </c>
    </row>
    <row r="355" spans="1:3" ht="15.75" thickBot="1">
      <c r="A355" s="38">
        <v>44747</v>
      </c>
      <c r="B355" s="34">
        <v>286.89999999999998</v>
      </c>
      <c r="C355" s="34">
        <v>18568655</v>
      </c>
    </row>
    <row r="356" spans="1:3" ht="15.75" thickBot="1">
      <c r="A356" s="38">
        <v>44748</v>
      </c>
      <c r="B356" s="34">
        <v>289.3</v>
      </c>
      <c r="C356" s="34">
        <v>18292925</v>
      </c>
    </row>
    <row r="357" spans="1:3" ht="15.75" thickBot="1">
      <c r="A357" s="38">
        <v>44749</v>
      </c>
      <c r="B357" s="34">
        <v>291.95</v>
      </c>
      <c r="C357" s="34">
        <v>13794991</v>
      </c>
    </row>
    <row r="358" spans="1:3" ht="15.75" thickBot="1">
      <c r="A358" s="38">
        <v>44750</v>
      </c>
      <c r="B358" s="34">
        <v>293.05</v>
      </c>
      <c r="C358" s="34">
        <v>11110418</v>
      </c>
    </row>
    <row r="359" spans="1:3" ht="15.75" thickBot="1">
      <c r="A359" s="38">
        <v>44753</v>
      </c>
      <c r="B359" s="34">
        <v>295</v>
      </c>
      <c r="C359" s="34">
        <v>12352667</v>
      </c>
    </row>
    <row r="360" spans="1:3" ht="15.75" thickBot="1">
      <c r="A360" s="38">
        <v>44754</v>
      </c>
      <c r="B360" s="34">
        <v>292.7</v>
      </c>
      <c r="C360" s="34">
        <v>14074628</v>
      </c>
    </row>
    <row r="361" spans="1:3" ht="15.75" thickBot="1">
      <c r="A361" s="38">
        <v>44755</v>
      </c>
      <c r="B361" s="34">
        <v>294.05</v>
      </c>
      <c r="C361" s="34">
        <v>9277570</v>
      </c>
    </row>
    <row r="362" spans="1:3" ht="15.75" thickBot="1">
      <c r="A362" s="38">
        <v>44756</v>
      </c>
      <c r="B362" s="34">
        <v>290.85000000000002</v>
      </c>
      <c r="C362" s="34">
        <v>13414357</v>
      </c>
    </row>
    <row r="363" spans="1:3" ht="15.75" thickBot="1">
      <c r="A363" s="38">
        <v>44757</v>
      </c>
      <c r="B363" s="34">
        <v>293.55</v>
      </c>
      <c r="C363" s="34">
        <v>11025420</v>
      </c>
    </row>
    <row r="364" spans="1:3" ht="15.75" thickBot="1">
      <c r="A364" s="38">
        <v>44760</v>
      </c>
      <c r="B364" s="34">
        <v>295.3</v>
      </c>
      <c r="C364" s="34">
        <v>11315876</v>
      </c>
    </row>
    <row r="365" spans="1:3" ht="15.75" thickBot="1">
      <c r="A365" s="38">
        <v>44761</v>
      </c>
      <c r="B365" s="34">
        <v>294.60000000000002</v>
      </c>
      <c r="C365" s="34">
        <v>9188419</v>
      </c>
    </row>
    <row r="366" spans="1:3" ht="15.75" thickBot="1">
      <c r="A366" s="38">
        <v>44762</v>
      </c>
      <c r="B366" s="34">
        <v>298.2</v>
      </c>
      <c r="C366" s="34">
        <v>15789281</v>
      </c>
    </row>
    <row r="367" spans="1:3" ht="15.75" thickBot="1">
      <c r="A367" s="38">
        <v>44763</v>
      </c>
      <c r="B367" s="34">
        <v>299.55</v>
      </c>
      <c r="C367" s="34">
        <v>16042840</v>
      </c>
    </row>
    <row r="368" spans="1:3" ht="15.75" thickBot="1">
      <c r="A368" s="38">
        <v>44764</v>
      </c>
      <c r="B368" s="34">
        <v>300.55</v>
      </c>
      <c r="C368" s="34">
        <v>9967545</v>
      </c>
    </row>
    <row r="369" spans="1:3" ht="15.75" thickBot="1">
      <c r="A369" s="38">
        <v>44767</v>
      </c>
      <c r="B369" s="34">
        <v>301.10000000000002</v>
      </c>
      <c r="C369" s="34">
        <v>10640727</v>
      </c>
    </row>
    <row r="370" spans="1:3" ht="15.75" thickBot="1">
      <c r="A370" s="38">
        <v>44768</v>
      </c>
      <c r="B370" s="34">
        <v>302.45</v>
      </c>
      <c r="C370" s="34">
        <v>9739177</v>
      </c>
    </row>
    <row r="371" spans="1:3" ht="15.75" thickBot="1">
      <c r="A371" s="38">
        <v>44769</v>
      </c>
      <c r="B371" s="34">
        <v>304.14999999999998</v>
      </c>
      <c r="C371" s="34">
        <v>9346146</v>
      </c>
    </row>
    <row r="372" spans="1:3" ht="15.75" thickBot="1">
      <c r="A372" s="38">
        <v>44770</v>
      </c>
      <c r="B372" s="34">
        <v>303.45</v>
      </c>
      <c r="C372" s="34">
        <v>10839070</v>
      </c>
    </row>
    <row r="373" spans="1:3" ht="15.75" thickBot="1">
      <c r="A373" s="38">
        <v>44771</v>
      </c>
      <c r="B373" s="34">
        <v>303.05</v>
      </c>
      <c r="C373" s="34">
        <v>16932743</v>
      </c>
    </row>
    <row r="374" spans="1:3" ht="15.75" thickBot="1">
      <c r="A374" s="38">
        <v>44774</v>
      </c>
      <c r="B374" s="34">
        <v>307.5</v>
      </c>
      <c r="C374" s="34">
        <v>15889556</v>
      </c>
    </row>
    <row r="375" spans="1:3" ht="15.75" thickBot="1">
      <c r="A375" s="38">
        <v>44775</v>
      </c>
      <c r="B375" s="34">
        <v>309.95</v>
      </c>
      <c r="C375" s="34">
        <v>38982557</v>
      </c>
    </row>
    <row r="376" spans="1:3" ht="15.75" thickBot="1">
      <c r="A376" s="38">
        <v>44776</v>
      </c>
      <c r="B376" s="34">
        <v>308.14999999999998</v>
      </c>
      <c r="C376" s="34">
        <v>17695228</v>
      </c>
    </row>
    <row r="377" spans="1:3" ht="15.75" thickBot="1">
      <c r="A377" s="38">
        <v>44777</v>
      </c>
      <c r="B377" s="34">
        <v>309.5</v>
      </c>
      <c r="C377" s="34">
        <v>15901918</v>
      </c>
    </row>
    <row r="378" spans="1:3" ht="15.75" thickBot="1">
      <c r="A378" s="38">
        <v>44778</v>
      </c>
      <c r="B378" s="34">
        <v>310.85000000000002</v>
      </c>
      <c r="C378" s="34">
        <v>10088723</v>
      </c>
    </row>
    <row r="379" spans="1:3" ht="15.75" thickBot="1">
      <c r="A379" s="38">
        <v>44781</v>
      </c>
      <c r="B379" s="34">
        <v>313.14999999999998</v>
      </c>
      <c r="C379" s="34">
        <v>8307140</v>
      </c>
    </row>
    <row r="380" spans="1:3" ht="15.75" thickBot="1">
      <c r="A380" s="38">
        <v>44783</v>
      </c>
      <c r="B380" s="34">
        <v>311.2</v>
      </c>
      <c r="C380" s="34">
        <v>8923568</v>
      </c>
    </row>
    <row r="381" spans="1:3" ht="15.75" thickBot="1">
      <c r="A381" s="38">
        <v>44784</v>
      </c>
      <c r="B381" s="34">
        <v>306.25</v>
      </c>
      <c r="C381" s="34">
        <v>10885990</v>
      </c>
    </row>
    <row r="382" spans="1:3" ht="15.75" thickBot="1">
      <c r="A382" s="38">
        <v>44785</v>
      </c>
      <c r="B382" s="34">
        <v>308.55</v>
      </c>
      <c r="C382" s="34">
        <v>6422504</v>
      </c>
    </row>
    <row r="383" spans="1:3" ht="15.75" thickBot="1">
      <c r="A383" s="38">
        <v>44789</v>
      </c>
      <c r="B383" s="34">
        <v>310.55</v>
      </c>
      <c r="C383" s="34">
        <v>8609864</v>
      </c>
    </row>
    <row r="384" spans="1:3" ht="15.75" thickBot="1">
      <c r="A384" s="38">
        <v>44790</v>
      </c>
      <c r="B384" s="34">
        <v>312.55</v>
      </c>
      <c r="C384" s="34">
        <v>7975854</v>
      </c>
    </row>
    <row r="385" spans="1:3" ht="15.75" thickBot="1">
      <c r="A385" s="38">
        <v>44791</v>
      </c>
      <c r="B385" s="34">
        <v>315.64999999999998</v>
      </c>
      <c r="C385" s="34">
        <v>9883851</v>
      </c>
    </row>
    <row r="386" spans="1:3" ht="15.75" thickBot="1">
      <c r="A386" s="38">
        <v>44792</v>
      </c>
      <c r="B386" s="34">
        <v>312</v>
      </c>
      <c r="C386" s="34">
        <v>10422413</v>
      </c>
    </row>
    <row r="387" spans="1:3" ht="15.75" thickBot="1">
      <c r="A387" s="38">
        <v>44795</v>
      </c>
      <c r="B387" s="34">
        <v>314.39999999999998</v>
      </c>
      <c r="C387" s="34">
        <v>11355837</v>
      </c>
    </row>
    <row r="388" spans="1:3" ht="15.75" thickBot="1">
      <c r="A388" s="38">
        <v>44796</v>
      </c>
      <c r="B388" s="34">
        <v>315.89999999999998</v>
      </c>
      <c r="C388" s="34">
        <v>9338887</v>
      </c>
    </row>
    <row r="389" spans="1:3" ht="15.75" thickBot="1">
      <c r="A389" s="38">
        <v>44797</v>
      </c>
      <c r="B389" s="34">
        <v>314.10000000000002</v>
      </c>
      <c r="C389" s="34">
        <v>11346892</v>
      </c>
    </row>
    <row r="390" spans="1:3" ht="15.75" thickBot="1">
      <c r="A390" s="38">
        <v>44798</v>
      </c>
      <c r="B390" s="34">
        <v>312.35000000000002</v>
      </c>
      <c r="C390" s="34">
        <v>7759104</v>
      </c>
    </row>
    <row r="391" spans="1:3" ht="15.75" thickBot="1">
      <c r="A391" s="38">
        <v>44799</v>
      </c>
      <c r="B391" s="34">
        <v>312.89999999999998</v>
      </c>
      <c r="C391" s="34">
        <v>6956588</v>
      </c>
    </row>
    <row r="392" spans="1:3" ht="15.75" thickBot="1">
      <c r="A392" s="38">
        <v>44802</v>
      </c>
      <c r="B392" s="34">
        <v>313.55</v>
      </c>
      <c r="C392" s="34">
        <v>11361400</v>
      </c>
    </row>
    <row r="393" spans="1:3" ht="15.75" thickBot="1">
      <c r="A393" s="38">
        <v>44803</v>
      </c>
      <c r="B393" s="34">
        <v>320.5</v>
      </c>
      <c r="C393" s="34">
        <v>17829428</v>
      </c>
    </row>
    <row r="394" spans="1:3" ht="15.75" thickBot="1">
      <c r="A394" s="38">
        <v>44805</v>
      </c>
      <c r="B394" s="34">
        <v>317.60000000000002</v>
      </c>
      <c r="C394" s="34">
        <v>13254985</v>
      </c>
    </row>
    <row r="395" spans="1:3" ht="15.75" thickBot="1">
      <c r="A395" s="38">
        <v>44806</v>
      </c>
      <c r="B395" s="34">
        <v>323.14999999999998</v>
      </c>
      <c r="C395" s="34">
        <v>25758860</v>
      </c>
    </row>
    <row r="396" spans="1:3" ht="15.75" thickBot="1">
      <c r="A396" s="38">
        <v>44809</v>
      </c>
      <c r="B396" s="34">
        <v>328.85</v>
      </c>
      <c r="C396" s="34">
        <v>17471906</v>
      </c>
    </row>
    <row r="397" spans="1:3" ht="15.75" thickBot="1">
      <c r="A397" s="38">
        <v>44810</v>
      </c>
      <c r="B397" s="34">
        <v>327.14999999999998</v>
      </c>
      <c r="C397" s="34">
        <v>11970750</v>
      </c>
    </row>
    <row r="398" spans="1:3" ht="15.75" thickBot="1">
      <c r="A398" s="38">
        <v>44811</v>
      </c>
      <c r="B398" s="34">
        <v>326.10000000000002</v>
      </c>
      <c r="C398" s="34">
        <v>8085824</v>
      </c>
    </row>
    <row r="399" spans="1:3" ht="15.75" thickBot="1">
      <c r="A399" s="38">
        <v>44812</v>
      </c>
      <c r="B399" s="34">
        <v>329.9</v>
      </c>
      <c r="C399" s="34">
        <v>10911130</v>
      </c>
    </row>
    <row r="400" spans="1:3" ht="15.75" thickBot="1">
      <c r="A400" s="38">
        <v>44813</v>
      </c>
      <c r="B400" s="34">
        <v>330.5</v>
      </c>
      <c r="C400" s="34">
        <v>9408098</v>
      </c>
    </row>
    <row r="401" spans="1:3" ht="15.75" thickBot="1">
      <c r="A401" s="38">
        <v>44816</v>
      </c>
      <c r="B401" s="34">
        <v>330.9</v>
      </c>
      <c r="C401" s="34">
        <v>8712689</v>
      </c>
    </row>
    <row r="402" spans="1:3" ht="15.75" thickBot="1">
      <c r="A402" s="38">
        <v>44817</v>
      </c>
      <c r="B402" s="34">
        <v>334.4</v>
      </c>
      <c r="C402" s="34">
        <v>10520207</v>
      </c>
    </row>
    <row r="403" spans="1:3" ht="15.75" thickBot="1">
      <c r="A403" s="38">
        <v>44818</v>
      </c>
      <c r="B403" s="34">
        <v>335.35</v>
      </c>
      <c r="C403" s="34">
        <v>12267025</v>
      </c>
    </row>
    <row r="404" spans="1:3" ht="15.75" thickBot="1">
      <c r="A404" s="38">
        <v>44819</v>
      </c>
      <c r="B404" s="34">
        <v>334.1</v>
      </c>
      <c r="C404" s="34">
        <v>8418672</v>
      </c>
    </row>
    <row r="405" spans="1:3" ht="15.75" thickBot="1">
      <c r="A405" s="38">
        <v>44820</v>
      </c>
      <c r="B405" s="34">
        <v>331.3</v>
      </c>
      <c r="C405" s="34">
        <v>12492851</v>
      </c>
    </row>
    <row r="406" spans="1:3" ht="15.75" thickBot="1">
      <c r="A406" s="38">
        <v>44823</v>
      </c>
      <c r="B406" s="34">
        <v>335.6</v>
      </c>
      <c r="C406" s="34">
        <v>14365461</v>
      </c>
    </row>
    <row r="407" spans="1:3" ht="15.75" thickBot="1">
      <c r="A407" s="38">
        <v>44824</v>
      </c>
      <c r="B407" s="34">
        <v>336</v>
      </c>
      <c r="C407" s="34">
        <v>9526068</v>
      </c>
    </row>
    <row r="408" spans="1:3" ht="15.75" thickBot="1">
      <c r="A408" s="38">
        <v>44825</v>
      </c>
      <c r="B408" s="34">
        <v>340.95</v>
      </c>
      <c r="C408" s="34">
        <v>20992080</v>
      </c>
    </row>
    <row r="409" spans="1:3" ht="15.75" thickBot="1">
      <c r="A409" s="38">
        <v>44826</v>
      </c>
      <c r="B409" s="34">
        <v>345.05</v>
      </c>
      <c r="C409" s="34">
        <v>24179987</v>
      </c>
    </row>
    <row r="410" spans="1:3" ht="15.75" thickBot="1">
      <c r="A410" s="38">
        <v>44827</v>
      </c>
      <c r="B410" s="34">
        <v>346.4</v>
      </c>
      <c r="C410" s="34">
        <v>22838807</v>
      </c>
    </row>
    <row r="411" spans="1:3" ht="15.75" thickBot="1">
      <c r="A411" s="38">
        <v>44830</v>
      </c>
      <c r="B411" s="34">
        <v>332.6</v>
      </c>
      <c r="C411" s="34">
        <v>16205789</v>
      </c>
    </row>
    <row r="412" spans="1:3" ht="15.75" thickBot="1">
      <c r="A412" s="38">
        <v>44831</v>
      </c>
      <c r="B412" s="34">
        <v>334.85</v>
      </c>
      <c r="C412" s="34">
        <v>9991052</v>
      </c>
    </row>
    <row r="413" spans="1:3" ht="15.75" thickBot="1">
      <c r="A413" s="38">
        <v>44832</v>
      </c>
      <c r="B413" s="34">
        <v>324.95</v>
      </c>
      <c r="C413" s="34">
        <v>15552911</v>
      </c>
    </row>
    <row r="414" spans="1:3" ht="15.75" thickBot="1">
      <c r="A414" s="38">
        <v>44833</v>
      </c>
      <c r="B414" s="34">
        <v>333.05</v>
      </c>
      <c r="C414" s="34">
        <v>18281337</v>
      </c>
    </row>
    <row r="415" spans="1:3" ht="15.75" thickBot="1">
      <c r="A415" s="38">
        <v>44834</v>
      </c>
      <c r="B415" s="34">
        <v>332.2</v>
      </c>
      <c r="C415" s="34">
        <v>12427919</v>
      </c>
    </row>
    <row r="416" spans="1:3" ht="15.75" thickBot="1">
      <c r="A416" s="38">
        <v>44837</v>
      </c>
      <c r="B416" s="34">
        <v>324.39999999999998</v>
      </c>
      <c r="C416" s="34">
        <v>9111289</v>
      </c>
    </row>
    <row r="417" spans="1:3" ht="15.75" thickBot="1">
      <c r="A417" s="38">
        <v>44838</v>
      </c>
      <c r="B417" s="34">
        <v>332.85</v>
      </c>
      <c r="C417" s="34">
        <v>8803255</v>
      </c>
    </row>
    <row r="418" spans="1:3" ht="15.75" thickBot="1">
      <c r="A418" s="38">
        <v>44840</v>
      </c>
      <c r="B418" s="34">
        <v>336.65</v>
      </c>
      <c r="C418" s="34">
        <v>22235092</v>
      </c>
    </row>
    <row r="419" spans="1:3" ht="15.75" thickBot="1">
      <c r="A419" s="38">
        <v>44841</v>
      </c>
      <c r="B419" s="34">
        <v>334.1</v>
      </c>
      <c r="C419" s="34">
        <v>10506078</v>
      </c>
    </row>
    <row r="420" spans="1:3" ht="15.75" thickBot="1">
      <c r="A420" s="38">
        <v>44844</v>
      </c>
      <c r="B420" s="34">
        <v>327.85</v>
      </c>
      <c r="C420" s="34">
        <v>9388996</v>
      </c>
    </row>
    <row r="421" spans="1:3" ht="15.75" thickBot="1">
      <c r="A421" s="38">
        <v>44845</v>
      </c>
      <c r="B421" s="34">
        <v>326.3</v>
      </c>
      <c r="C421" s="34">
        <v>10609956</v>
      </c>
    </row>
    <row r="422" spans="1:3" ht="15.75" thickBot="1">
      <c r="A422" s="38">
        <v>44846</v>
      </c>
      <c r="B422" s="34">
        <v>330.1</v>
      </c>
      <c r="C422" s="34">
        <v>10337544</v>
      </c>
    </row>
    <row r="423" spans="1:3" ht="15.75" thickBot="1">
      <c r="A423" s="38">
        <v>44847</v>
      </c>
      <c r="B423" s="34">
        <v>328.65</v>
      </c>
      <c r="C423" s="34">
        <v>7266724</v>
      </c>
    </row>
    <row r="424" spans="1:3" ht="15.75" thickBot="1">
      <c r="A424" s="38">
        <v>44848</v>
      </c>
      <c r="B424" s="34">
        <v>332.1</v>
      </c>
      <c r="C424" s="34">
        <v>6424915</v>
      </c>
    </row>
    <row r="425" spans="1:3" ht="15.75" thickBot="1">
      <c r="A425" s="38">
        <v>44851</v>
      </c>
      <c r="B425" s="34">
        <v>332.25</v>
      </c>
      <c r="C425" s="34">
        <v>6929063</v>
      </c>
    </row>
    <row r="426" spans="1:3" ht="15.75" thickBot="1">
      <c r="A426" s="38">
        <v>44852</v>
      </c>
      <c r="B426" s="34">
        <v>340.3</v>
      </c>
      <c r="C426" s="34">
        <v>20887417</v>
      </c>
    </row>
    <row r="427" spans="1:3" ht="15.75" thickBot="1">
      <c r="A427" s="38">
        <v>44853</v>
      </c>
      <c r="B427" s="34">
        <v>346.35</v>
      </c>
      <c r="C427" s="34">
        <v>16296080</v>
      </c>
    </row>
    <row r="428" spans="1:3" ht="15.75" thickBot="1">
      <c r="A428" s="38">
        <v>44854</v>
      </c>
      <c r="B428" s="34">
        <v>349.7</v>
      </c>
      <c r="C428" s="34">
        <v>18474706</v>
      </c>
    </row>
    <row r="429" spans="1:3" ht="15.75" thickBot="1">
      <c r="A429" s="38">
        <v>44855</v>
      </c>
      <c r="B429" s="34">
        <v>345.6</v>
      </c>
      <c r="C429" s="34">
        <v>27372160</v>
      </c>
    </row>
    <row r="430" spans="1:3" ht="15.75" thickBot="1">
      <c r="A430" s="38">
        <v>44859</v>
      </c>
      <c r="B430" s="34">
        <v>346.3</v>
      </c>
      <c r="C430" s="34">
        <v>17242211</v>
      </c>
    </row>
    <row r="431" spans="1:3" ht="15.75" thickBot="1">
      <c r="A431" s="38">
        <v>44861</v>
      </c>
      <c r="B431" s="34">
        <v>345.8</v>
      </c>
      <c r="C431" s="34">
        <v>18558597</v>
      </c>
    </row>
    <row r="432" spans="1:3" ht="15.75" thickBot="1">
      <c r="A432" s="38">
        <v>44862</v>
      </c>
      <c r="B432" s="34">
        <v>345.8</v>
      </c>
      <c r="C432" s="34">
        <v>13069167</v>
      </c>
    </row>
    <row r="433" spans="1:3" ht="15.75" thickBot="1">
      <c r="A433" s="38">
        <v>44865</v>
      </c>
      <c r="B433" s="34">
        <v>348.7</v>
      </c>
      <c r="C433" s="34">
        <v>13825970</v>
      </c>
    </row>
    <row r="434" spans="1:3" ht="15.75" thickBot="1">
      <c r="A434" s="38">
        <v>44866</v>
      </c>
      <c r="B434" s="34">
        <v>349.5</v>
      </c>
      <c r="C434" s="34">
        <v>19665200</v>
      </c>
    </row>
    <row r="435" spans="1:3" ht="15.75" thickBot="1">
      <c r="A435" s="38">
        <v>44867</v>
      </c>
      <c r="B435" s="34">
        <v>354.65</v>
      </c>
      <c r="C435" s="34">
        <v>16781507</v>
      </c>
    </row>
    <row r="436" spans="1:3" ht="15.75" thickBot="1">
      <c r="A436" s="38">
        <v>44868</v>
      </c>
      <c r="B436" s="34">
        <v>353.7</v>
      </c>
      <c r="C436" s="34">
        <v>10736155</v>
      </c>
    </row>
    <row r="437" spans="1:3" ht="15.75" thickBot="1">
      <c r="A437" s="38">
        <v>44869</v>
      </c>
      <c r="B437" s="34">
        <v>353.6</v>
      </c>
      <c r="C437" s="34">
        <v>8386849</v>
      </c>
    </row>
    <row r="438" spans="1:3" ht="15.75" thickBot="1">
      <c r="A438" s="38">
        <v>44872</v>
      </c>
      <c r="B438" s="34">
        <v>353.5</v>
      </c>
      <c r="C438" s="34">
        <v>10050303</v>
      </c>
    </row>
    <row r="439" spans="1:3" ht="15.75" thickBot="1">
      <c r="A439" s="38">
        <v>44874</v>
      </c>
      <c r="B439" s="34">
        <v>360.7</v>
      </c>
      <c r="C439" s="34">
        <v>20611075</v>
      </c>
    </row>
    <row r="440" spans="1:3" ht="15.75" thickBot="1">
      <c r="A440" s="38">
        <v>44875</v>
      </c>
      <c r="B440" s="34">
        <v>356</v>
      </c>
      <c r="C440" s="34">
        <v>19327625</v>
      </c>
    </row>
    <row r="441" spans="1:3" ht="15.75" thickBot="1">
      <c r="A441" s="38">
        <v>44876</v>
      </c>
      <c r="B441" s="34">
        <v>356.35</v>
      </c>
      <c r="C441" s="34">
        <v>10950902</v>
      </c>
    </row>
    <row r="442" spans="1:3" ht="15.75" thickBot="1">
      <c r="A442" s="38">
        <v>44879</v>
      </c>
      <c r="B442" s="34">
        <v>347.2</v>
      </c>
      <c r="C442" s="34">
        <v>17639889</v>
      </c>
    </row>
    <row r="443" spans="1:3" ht="15.75" thickBot="1">
      <c r="A443" s="38">
        <v>44880</v>
      </c>
      <c r="B443" s="34">
        <v>345.25</v>
      </c>
      <c r="C443" s="34">
        <v>15451411</v>
      </c>
    </row>
    <row r="444" spans="1:3" ht="15.75" thickBot="1">
      <c r="A444" s="38">
        <v>44881</v>
      </c>
      <c r="B444" s="34">
        <v>344.1</v>
      </c>
      <c r="C444" s="34">
        <v>7604924</v>
      </c>
    </row>
    <row r="445" spans="1:3" ht="15.75" thickBot="1">
      <c r="A445" s="38">
        <v>44882</v>
      </c>
      <c r="B445" s="34">
        <v>343.7</v>
      </c>
      <c r="C445" s="34">
        <v>9994270</v>
      </c>
    </row>
    <row r="446" spans="1:3" ht="15.75" thickBot="1">
      <c r="A446" s="38">
        <v>44883</v>
      </c>
      <c r="B446" s="34">
        <v>341.05</v>
      </c>
      <c r="C446" s="34">
        <v>7838297</v>
      </c>
    </row>
    <row r="447" spans="1:3" ht="15.75" thickBot="1">
      <c r="A447" s="38">
        <v>44886</v>
      </c>
      <c r="B447" s="34">
        <v>337.2</v>
      </c>
      <c r="C447" s="34">
        <v>9198816</v>
      </c>
    </row>
    <row r="448" spans="1:3" ht="15.75" thickBot="1">
      <c r="A448" s="38">
        <v>44887</v>
      </c>
      <c r="B448" s="34">
        <v>340.25</v>
      </c>
      <c r="C448" s="34">
        <v>6495845</v>
      </c>
    </row>
    <row r="449" spans="1:3" ht="15.75" thickBot="1">
      <c r="A449" s="38">
        <v>44888</v>
      </c>
      <c r="B449" s="34">
        <v>339.8</v>
      </c>
      <c r="C449" s="34">
        <v>7768291</v>
      </c>
    </row>
    <row r="450" spans="1:3" ht="15.75" thickBot="1">
      <c r="A450" s="38">
        <v>44889</v>
      </c>
      <c r="B450" s="34">
        <v>340.75</v>
      </c>
      <c r="C450" s="34">
        <v>8140857</v>
      </c>
    </row>
    <row r="451" spans="1:3" ht="15.75" thickBot="1">
      <c r="A451" s="38">
        <v>44890</v>
      </c>
      <c r="B451" s="34">
        <v>340.3</v>
      </c>
      <c r="C451" s="34">
        <v>6933254</v>
      </c>
    </row>
    <row r="452" spans="1:3" ht="15.75" thickBot="1">
      <c r="A452" s="38">
        <v>44893</v>
      </c>
      <c r="B452" s="34">
        <v>340.05</v>
      </c>
      <c r="C452" s="34">
        <v>9902739</v>
      </c>
    </row>
    <row r="453" spans="1:3" ht="15.75" thickBot="1">
      <c r="A453" s="38">
        <v>44894</v>
      </c>
      <c r="B453" s="34">
        <v>342.3</v>
      </c>
      <c r="C453" s="34">
        <v>10189855</v>
      </c>
    </row>
    <row r="454" spans="1:3" ht="15.75" thickBot="1">
      <c r="A454" s="38">
        <v>44895</v>
      </c>
      <c r="B454" s="34">
        <v>340</v>
      </c>
      <c r="C454" s="34">
        <v>22556502</v>
      </c>
    </row>
    <row r="455" spans="1:3" ht="15.75" thickBot="1">
      <c r="A455" s="38">
        <v>44896</v>
      </c>
      <c r="B455" s="34">
        <v>339.55</v>
      </c>
      <c r="C455" s="34">
        <v>16630417</v>
      </c>
    </row>
    <row r="456" spans="1:3" ht="15.75" thickBot="1">
      <c r="A456" s="38">
        <v>44897</v>
      </c>
      <c r="B456" s="34">
        <v>337.15</v>
      </c>
      <c r="C456" s="34">
        <v>8388835</v>
      </c>
    </row>
    <row r="457" spans="1:3" ht="15.75" thickBot="1">
      <c r="A457" s="38">
        <v>44900</v>
      </c>
      <c r="B457" s="34">
        <v>336.75</v>
      </c>
      <c r="C457" s="34">
        <v>9716390</v>
      </c>
    </row>
    <row r="458" spans="1:3" ht="15.75" thickBot="1">
      <c r="A458" s="38">
        <v>44901</v>
      </c>
      <c r="B458" s="34">
        <v>337.3</v>
      </c>
      <c r="C458" s="34">
        <v>6327430</v>
      </c>
    </row>
    <row r="459" spans="1:3" ht="15.75" thickBot="1">
      <c r="A459" s="38">
        <v>44902</v>
      </c>
      <c r="B459" s="34">
        <v>340.1</v>
      </c>
      <c r="C459" s="34">
        <v>9813208</v>
      </c>
    </row>
    <row r="460" spans="1:3" ht="15.75" thickBot="1">
      <c r="A460" s="38">
        <v>44903</v>
      </c>
      <c r="B460" s="34">
        <v>338.4</v>
      </c>
      <c r="C460" s="34">
        <v>6200447</v>
      </c>
    </row>
    <row r="461" spans="1:3" ht="15.75" thickBot="1">
      <c r="A461" s="38">
        <v>44904</v>
      </c>
      <c r="B461" s="34">
        <v>341.4</v>
      </c>
      <c r="C461" s="34">
        <v>8132228</v>
      </c>
    </row>
    <row r="462" spans="1:3" ht="15.75" thickBot="1">
      <c r="A462" s="38">
        <v>44907</v>
      </c>
      <c r="B462" s="34">
        <v>343.2</v>
      </c>
      <c r="C462" s="34">
        <v>11214662</v>
      </c>
    </row>
    <row r="463" spans="1:3" ht="15.75" thickBot="1">
      <c r="A463" s="38">
        <v>44908</v>
      </c>
      <c r="B463" s="34">
        <v>345.6</v>
      </c>
      <c r="C463" s="34">
        <v>10693426</v>
      </c>
    </row>
    <row r="464" spans="1:3" ht="15.75" thickBot="1">
      <c r="A464" s="38">
        <v>44909</v>
      </c>
      <c r="B464" s="34">
        <v>345.4</v>
      </c>
      <c r="C464" s="34">
        <v>7379878</v>
      </c>
    </row>
    <row r="465" spans="1:3" ht="15.75" thickBot="1">
      <c r="A465" s="38">
        <v>44910</v>
      </c>
      <c r="B465" s="34">
        <v>338.85</v>
      </c>
      <c r="C465" s="34">
        <v>8154931</v>
      </c>
    </row>
    <row r="466" spans="1:3" ht="15.75" thickBot="1">
      <c r="A466" s="38">
        <v>44911</v>
      </c>
      <c r="B466" s="34">
        <v>335.1</v>
      </c>
      <c r="C466" s="34">
        <v>12429280</v>
      </c>
    </row>
    <row r="467" spans="1:3" ht="15.75" thickBot="1">
      <c r="A467" s="38">
        <v>44914</v>
      </c>
      <c r="B467" s="34">
        <v>340.5</v>
      </c>
      <c r="C467" s="34">
        <v>7812801</v>
      </c>
    </row>
    <row r="468" spans="1:3" ht="15.75" thickBot="1">
      <c r="A468" s="38">
        <v>44915</v>
      </c>
      <c r="B468" s="34">
        <v>340.15</v>
      </c>
      <c r="C468" s="34">
        <v>5482218</v>
      </c>
    </row>
    <row r="469" spans="1:3" ht="15.75" thickBot="1">
      <c r="A469" s="38">
        <v>44916</v>
      </c>
      <c r="B469" s="34">
        <v>335.15</v>
      </c>
      <c r="C469" s="34">
        <v>7045201</v>
      </c>
    </row>
    <row r="470" spans="1:3" ht="15.75" thickBot="1">
      <c r="A470" s="38">
        <v>44917</v>
      </c>
      <c r="B470" s="34">
        <v>332.45</v>
      </c>
      <c r="C470" s="34">
        <v>6584445</v>
      </c>
    </row>
    <row r="471" spans="1:3" ht="15.75" thickBot="1">
      <c r="A471" s="38">
        <v>44918</v>
      </c>
      <c r="B471" s="34">
        <v>326.7</v>
      </c>
      <c r="C471" s="34">
        <v>10073884</v>
      </c>
    </row>
    <row r="472" spans="1:3" ht="15.75" thickBot="1">
      <c r="A472" s="38">
        <v>44921</v>
      </c>
      <c r="B472" s="34">
        <v>334.6</v>
      </c>
      <c r="C472" s="34">
        <v>9566210</v>
      </c>
    </row>
    <row r="473" spans="1:3" ht="15.75" thickBot="1">
      <c r="A473" s="38">
        <v>44922</v>
      </c>
      <c r="B473" s="34">
        <v>333.15</v>
      </c>
      <c r="C473" s="34">
        <v>6727343</v>
      </c>
    </row>
    <row r="474" spans="1:3" ht="15.75" thickBot="1">
      <c r="A474" s="38">
        <v>44923</v>
      </c>
      <c r="B474" s="34">
        <v>334.4</v>
      </c>
      <c r="C474" s="34">
        <v>7737562</v>
      </c>
    </row>
    <row r="475" spans="1:3" ht="15.75" thickBot="1">
      <c r="A475" s="38">
        <v>44924</v>
      </c>
      <c r="B475" s="34">
        <v>335.35</v>
      </c>
      <c r="C475" s="34">
        <v>8105359</v>
      </c>
    </row>
    <row r="476" spans="1:3" ht="15.75" thickBot="1">
      <c r="A476" s="38">
        <v>44925</v>
      </c>
      <c r="B476" s="34">
        <v>331.55</v>
      </c>
      <c r="C476" s="34">
        <v>6960264</v>
      </c>
    </row>
    <row r="477" spans="1:3" ht="15.75" thickBot="1">
      <c r="A477" s="38">
        <v>44928</v>
      </c>
      <c r="B477" s="34">
        <v>332.85</v>
      </c>
      <c r="C477" s="34">
        <v>5951893</v>
      </c>
    </row>
    <row r="478" spans="1:3" ht="15.75" thickBot="1">
      <c r="A478" s="38">
        <v>44929</v>
      </c>
      <c r="B478" s="34">
        <v>331.1</v>
      </c>
      <c r="C478" s="34">
        <v>5997051</v>
      </c>
    </row>
    <row r="479" spans="1:3" ht="15.75" thickBot="1">
      <c r="A479" s="38">
        <v>44930</v>
      </c>
      <c r="B479" s="34">
        <v>327</v>
      </c>
      <c r="C479" s="34">
        <v>6689769</v>
      </c>
    </row>
    <row r="480" spans="1:3" ht="15.75" thickBot="1">
      <c r="A480" s="38">
        <v>44931</v>
      </c>
      <c r="B480" s="34">
        <v>333.45</v>
      </c>
      <c r="C480" s="34">
        <v>8171437</v>
      </c>
    </row>
    <row r="481" spans="1:3" ht="15.75" thickBot="1">
      <c r="A481" s="38">
        <v>44932</v>
      </c>
      <c r="B481" s="34">
        <v>335.05</v>
      </c>
      <c r="C481" s="34">
        <v>8284135</v>
      </c>
    </row>
    <row r="482" spans="1:3" ht="15.75" thickBot="1">
      <c r="A482" s="38">
        <v>44935</v>
      </c>
      <c r="B482" s="34">
        <v>338.05</v>
      </c>
      <c r="C482" s="34">
        <v>10618786</v>
      </c>
    </row>
    <row r="483" spans="1:3" ht="15.75" thickBot="1">
      <c r="A483" s="38">
        <v>44936</v>
      </c>
      <c r="B483" s="34">
        <v>333.4</v>
      </c>
      <c r="C483" s="34">
        <v>6949605</v>
      </c>
    </row>
    <row r="484" spans="1:3" ht="15.75" thickBot="1">
      <c r="A484" s="38">
        <v>44937</v>
      </c>
      <c r="B484" s="34">
        <v>331.8</v>
      </c>
      <c r="C484" s="34">
        <v>4584293</v>
      </c>
    </row>
    <row r="485" spans="1:3" ht="15.75" thickBot="1">
      <c r="A485" s="38">
        <v>44938</v>
      </c>
      <c r="B485" s="34">
        <v>329.85</v>
      </c>
      <c r="C485" s="34">
        <v>6638422</v>
      </c>
    </row>
    <row r="486" spans="1:3" ht="15.75" thickBot="1">
      <c r="A486" s="38">
        <v>44939</v>
      </c>
      <c r="B486" s="34">
        <v>328.75</v>
      </c>
      <c r="C486" s="34">
        <v>14412671</v>
      </c>
    </row>
    <row r="487" spans="1:3" ht="15.75" thickBot="1">
      <c r="A487" s="38">
        <v>44942</v>
      </c>
      <c r="B487" s="34">
        <v>330.2</v>
      </c>
      <c r="C487" s="34">
        <v>8253942</v>
      </c>
    </row>
    <row r="488" spans="1:3" ht="15.75" thickBot="1">
      <c r="A488" s="38">
        <v>44943</v>
      </c>
      <c r="B488" s="34">
        <v>332.25</v>
      </c>
      <c r="C488" s="34">
        <v>13712537</v>
      </c>
    </row>
    <row r="489" spans="1:3" ht="15.75" thickBot="1">
      <c r="A489" s="38">
        <v>44944</v>
      </c>
      <c r="B489" s="34">
        <v>334.65</v>
      </c>
      <c r="C489" s="34">
        <v>12555527</v>
      </c>
    </row>
    <row r="490" spans="1:3" ht="15.75" thickBot="1">
      <c r="A490" s="38">
        <v>44945</v>
      </c>
      <c r="B490" s="34">
        <v>332.15</v>
      </c>
      <c r="C490" s="34">
        <v>8346130</v>
      </c>
    </row>
    <row r="491" spans="1:3" ht="15.75" thickBot="1">
      <c r="A491" s="38">
        <v>44946</v>
      </c>
      <c r="B491" s="34">
        <v>334.6</v>
      </c>
      <c r="C491" s="34">
        <v>13103664</v>
      </c>
    </row>
    <row r="492" spans="1:3" ht="15.75" thickBot="1">
      <c r="A492" s="38">
        <v>44949</v>
      </c>
      <c r="B492" s="34">
        <v>337.75</v>
      </c>
      <c r="C492" s="34">
        <v>7124807</v>
      </c>
    </row>
    <row r="493" spans="1:3" ht="15.75" thickBot="1">
      <c r="A493" s="38">
        <v>44950</v>
      </c>
      <c r="B493" s="34">
        <v>338.95</v>
      </c>
      <c r="C493" s="34">
        <v>12302874</v>
      </c>
    </row>
    <row r="494" spans="1:3" ht="15.75" thickBot="1">
      <c r="A494" s="38">
        <v>44951</v>
      </c>
      <c r="B494" s="34">
        <v>339.25</v>
      </c>
      <c r="C494" s="34">
        <v>12497542</v>
      </c>
    </row>
    <row r="495" spans="1:3" ht="15.75" thickBot="1">
      <c r="A495" s="38">
        <v>44953</v>
      </c>
      <c r="B495" s="34">
        <v>346</v>
      </c>
      <c r="C495" s="34">
        <v>21040139</v>
      </c>
    </row>
    <row r="496" spans="1:3" ht="15.75" thickBot="1">
      <c r="A496" s="38">
        <v>44956</v>
      </c>
      <c r="B496" s="34">
        <v>344.8</v>
      </c>
      <c r="C496" s="34">
        <v>14091519</v>
      </c>
    </row>
    <row r="497" spans="1:3" ht="15.75" thickBot="1">
      <c r="A497" s="38">
        <v>44957</v>
      </c>
      <c r="B497" s="34">
        <v>352.35</v>
      </c>
      <c r="C497" s="34">
        <v>17134291</v>
      </c>
    </row>
    <row r="498" spans="1:3" ht="15.75" thickBot="1">
      <c r="A498" s="38">
        <v>44958</v>
      </c>
      <c r="B498" s="34">
        <v>361.4</v>
      </c>
      <c r="C498" s="34">
        <v>64518967</v>
      </c>
    </row>
    <row r="499" spans="1:3" ht="15.75" thickBot="1">
      <c r="A499" s="38">
        <v>44959</v>
      </c>
      <c r="B499" s="34">
        <v>378.6</v>
      </c>
      <c r="C499" s="34">
        <v>55745171</v>
      </c>
    </row>
    <row r="500" spans="1:3" ht="15.75" thickBot="1">
      <c r="A500" s="38">
        <v>44960</v>
      </c>
      <c r="B500" s="34">
        <v>380.65</v>
      </c>
      <c r="C500" s="34">
        <v>22295321</v>
      </c>
    </row>
    <row r="501" spans="1:3" ht="15.75" thickBot="1">
      <c r="A501" s="38">
        <v>44963</v>
      </c>
      <c r="B501" s="34">
        <v>383.4</v>
      </c>
      <c r="C501" s="34">
        <v>25790153</v>
      </c>
    </row>
    <row r="502" spans="1:3" ht="15.75" thickBot="1">
      <c r="A502" s="38">
        <v>44964</v>
      </c>
      <c r="B502" s="34">
        <v>373.25</v>
      </c>
      <c r="C502" s="34">
        <v>20643707</v>
      </c>
    </row>
    <row r="503" spans="1:3" ht="15.75" thickBot="1">
      <c r="A503" s="38">
        <v>44965</v>
      </c>
      <c r="B503" s="34">
        <v>375.55</v>
      </c>
      <c r="C503" s="34">
        <v>10420462</v>
      </c>
    </row>
    <row r="504" spans="1:3" ht="15.75" thickBot="1">
      <c r="A504" s="38">
        <v>44966</v>
      </c>
      <c r="B504" s="34">
        <v>374.25</v>
      </c>
      <c r="C504" s="34">
        <v>11861196</v>
      </c>
    </row>
    <row r="505" spans="1:3" ht="15.75" thickBot="1">
      <c r="A505" s="38">
        <v>44967</v>
      </c>
      <c r="B505" s="34">
        <v>371.35</v>
      </c>
      <c r="C505" s="34">
        <v>10278597</v>
      </c>
    </row>
    <row r="506" spans="1:3" ht="15.75" thickBot="1">
      <c r="A506" s="38">
        <v>44970</v>
      </c>
      <c r="B506" s="34">
        <v>374.2</v>
      </c>
      <c r="C506" s="34">
        <v>9901148</v>
      </c>
    </row>
    <row r="507" spans="1:3" ht="15.75" thickBot="1">
      <c r="A507" s="38">
        <v>44971</v>
      </c>
      <c r="B507" s="34">
        <v>386.45</v>
      </c>
      <c r="C507" s="34">
        <v>29125052</v>
      </c>
    </row>
    <row r="508" spans="1:3" ht="15.75" thickBot="1">
      <c r="A508" s="38">
        <v>44972</v>
      </c>
      <c r="B508" s="34">
        <v>382.2</v>
      </c>
      <c r="C508" s="34">
        <v>12209350</v>
      </c>
    </row>
    <row r="509" spans="1:3" ht="15.75" thickBot="1">
      <c r="A509" s="38">
        <v>44973</v>
      </c>
      <c r="B509" s="34">
        <v>382.55</v>
      </c>
      <c r="C509" s="34">
        <v>9775280</v>
      </c>
    </row>
    <row r="510" spans="1:3" ht="15.75" thickBot="1">
      <c r="A510" s="38">
        <v>44974</v>
      </c>
      <c r="B510" s="34">
        <v>383.4</v>
      </c>
      <c r="C510" s="34">
        <v>7672135</v>
      </c>
    </row>
    <row r="511" spans="1:3" ht="15.75" thickBot="1">
      <c r="A511" s="38">
        <v>44977</v>
      </c>
      <c r="B511" s="34">
        <v>384.05</v>
      </c>
      <c r="C511" s="34">
        <v>7804976</v>
      </c>
    </row>
    <row r="512" spans="1:3" ht="15.75" thickBot="1">
      <c r="A512" s="38">
        <v>44978</v>
      </c>
      <c r="B512" s="34">
        <v>382.25</v>
      </c>
      <c r="C512" s="34">
        <v>8259574</v>
      </c>
    </row>
    <row r="513" spans="1:3" ht="15.75" thickBot="1">
      <c r="A513" s="38">
        <v>44979</v>
      </c>
      <c r="B513" s="34">
        <v>383.85</v>
      </c>
      <c r="C513" s="34">
        <v>8961077</v>
      </c>
    </row>
    <row r="514" spans="1:3" ht="15.75" thickBot="1">
      <c r="A514" s="38">
        <v>44980</v>
      </c>
      <c r="B514" s="34">
        <v>387.6</v>
      </c>
      <c r="C514" s="34">
        <v>18830592</v>
      </c>
    </row>
    <row r="515" spans="1:3" ht="15.75" thickBot="1">
      <c r="A515" s="38">
        <v>44981</v>
      </c>
      <c r="B515" s="34">
        <v>385.1</v>
      </c>
      <c r="C515" s="34">
        <v>12910220</v>
      </c>
    </row>
    <row r="516" spans="1:3" ht="15.75" thickBot="1">
      <c r="A516" s="38">
        <v>44984</v>
      </c>
      <c r="B516" s="34">
        <v>382.2</v>
      </c>
      <c r="C516" s="34">
        <v>8142319</v>
      </c>
    </row>
    <row r="517" spans="1:3" ht="15.75" thickBot="1">
      <c r="A517" s="38">
        <v>44985</v>
      </c>
      <c r="B517" s="34">
        <v>376.7</v>
      </c>
      <c r="C517" s="34">
        <v>16367477</v>
      </c>
    </row>
    <row r="518" spans="1:3" ht="15.75" thickBot="1">
      <c r="A518" s="38">
        <v>44986</v>
      </c>
      <c r="B518" s="34">
        <v>378.7</v>
      </c>
      <c r="C518" s="34">
        <v>7766667</v>
      </c>
    </row>
    <row r="519" spans="1:3" ht="15.75" thickBot="1">
      <c r="A519" s="38">
        <v>44987</v>
      </c>
      <c r="B519" s="34">
        <v>375.55</v>
      </c>
      <c r="C519" s="34">
        <v>5019603</v>
      </c>
    </row>
    <row r="520" spans="1:3" ht="15.75" thickBot="1">
      <c r="A520" s="38">
        <v>44988</v>
      </c>
      <c r="B520" s="34">
        <v>384.95</v>
      </c>
      <c r="C520" s="34">
        <v>8180709</v>
      </c>
    </row>
    <row r="521" spans="1:3" ht="15.75" thickBot="1">
      <c r="A521" s="38">
        <v>44991</v>
      </c>
      <c r="B521" s="34">
        <v>388.15</v>
      </c>
      <c r="C521" s="34">
        <v>10714339</v>
      </c>
    </row>
    <row r="522" spans="1:3" ht="15.75" thickBot="1">
      <c r="A522" s="38">
        <v>44993</v>
      </c>
      <c r="B522" s="34">
        <v>392.4</v>
      </c>
      <c r="C522" s="34">
        <v>8917699</v>
      </c>
    </row>
    <row r="523" spans="1:3" ht="15.75" thickBot="1">
      <c r="A523" s="38">
        <v>44994</v>
      </c>
      <c r="B523" s="34">
        <v>387.5</v>
      </c>
      <c r="C523" s="34">
        <v>9634283</v>
      </c>
    </row>
    <row r="524" spans="1:3" ht="15.75" thickBot="1">
      <c r="A524" s="38">
        <v>44995</v>
      </c>
      <c r="B524" s="34">
        <v>388</v>
      </c>
      <c r="C524" s="34">
        <v>8362265</v>
      </c>
    </row>
    <row r="525" spans="1:3" ht="15.75" thickBot="1">
      <c r="A525" s="38">
        <v>44998</v>
      </c>
      <c r="B525" s="34">
        <v>383.65</v>
      </c>
      <c r="C525" s="34">
        <v>8791872</v>
      </c>
    </row>
    <row r="526" spans="1:3" ht="15.75" thickBot="1">
      <c r="A526" s="38">
        <v>44999</v>
      </c>
      <c r="B526" s="34">
        <v>379.7</v>
      </c>
      <c r="C526" s="34">
        <v>10229766</v>
      </c>
    </row>
    <row r="527" spans="1:3" ht="15.75" thickBot="1">
      <c r="A527" s="38">
        <v>45000</v>
      </c>
      <c r="B527" s="34">
        <v>379.4</v>
      </c>
      <c r="C527" s="34">
        <v>8423692</v>
      </c>
    </row>
    <row r="528" spans="1:3" ht="15.75" thickBot="1">
      <c r="A528" s="38">
        <v>45001</v>
      </c>
      <c r="B528" s="34">
        <v>381.45</v>
      </c>
      <c r="C528" s="34">
        <v>15710094</v>
      </c>
    </row>
    <row r="529" spans="1:3" ht="15.75" thickBot="1">
      <c r="A529" s="38">
        <v>45002</v>
      </c>
      <c r="B529" s="34">
        <v>375.55</v>
      </c>
      <c r="C529" s="34">
        <v>48904254</v>
      </c>
    </row>
    <row r="530" spans="1:3" ht="15.75" thickBot="1">
      <c r="A530" s="38">
        <v>45005</v>
      </c>
      <c r="B530" s="34">
        <v>378.8</v>
      </c>
      <c r="C530" s="34">
        <v>10122167</v>
      </c>
    </row>
    <row r="531" spans="1:3" ht="15.75" thickBot="1">
      <c r="A531" s="38">
        <v>45006</v>
      </c>
      <c r="B531" s="34">
        <v>376.95</v>
      </c>
      <c r="C531" s="34">
        <v>11610832</v>
      </c>
    </row>
    <row r="532" spans="1:3" ht="15.75" thickBot="1">
      <c r="A532" s="38">
        <v>45007</v>
      </c>
      <c r="B532" s="34">
        <v>377.75</v>
      </c>
      <c r="C532" s="34">
        <v>4774867</v>
      </c>
    </row>
    <row r="533" spans="1:3" ht="15.75" thickBot="1">
      <c r="A533" s="38">
        <v>45008</v>
      </c>
      <c r="B533" s="34">
        <v>380.65</v>
      </c>
      <c r="C533" s="34">
        <v>9752326</v>
      </c>
    </row>
    <row r="534" spans="1:3" ht="15.75" thickBot="1">
      <c r="A534" s="38">
        <v>45009</v>
      </c>
      <c r="B534" s="34">
        <v>378.7</v>
      </c>
      <c r="C534" s="34">
        <v>9934501</v>
      </c>
    </row>
    <row r="535" spans="1:3" ht="15.75" thickBot="1">
      <c r="A535" s="38">
        <v>45012</v>
      </c>
      <c r="B535" s="34">
        <v>380.2</v>
      </c>
      <c r="C535" s="34">
        <v>10816352</v>
      </c>
    </row>
    <row r="536" spans="1:3" ht="15.75" thickBot="1">
      <c r="A536" s="38">
        <v>45013</v>
      </c>
      <c r="B536" s="34">
        <v>379.75</v>
      </c>
      <c r="C536" s="34">
        <v>9170535</v>
      </c>
    </row>
    <row r="537" spans="1:3" ht="15.75" thickBot="1">
      <c r="A537" s="38">
        <v>45014</v>
      </c>
      <c r="B537" s="34">
        <v>382.75</v>
      </c>
      <c r="C537" s="34">
        <v>10160322</v>
      </c>
    </row>
    <row r="538" spans="1:3" ht="15.75" thickBot="1">
      <c r="A538" s="38">
        <v>45016</v>
      </c>
      <c r="B538" s="34">
        <v>383.5</v>
      </c>
      <c r="C538" s="34">
        <v>9511189</v>
      </c>
    </row>
    <row r="539" spans="1:3" ht="15.75" thickBot="1">
      <c r="A539" s="38">
        <v>45019</v>
      </c>
      <c r="B539" s="34">
        <v>378.9</v>
      </c>
      <c r="C539" s="34">
        <v>7059200</v>
      </c>
    </row>
    <row r="540" spans="1:3" ht="15.75" thickBot="1">
      <c r="A540" s="38">
        <v>45021</v>
      </c>
      <c r="B540" s="34">
        <v>386.4</v>
      </c>
      <c r="C540" s="34">
        <v>11608424</v>
      </c>
    </row>
    <row r="541" spans="1:3" ht="15.75" thickBot="1">
      <c r="A541" s="38">
        <v>45022</v>
      </c>
      <c r="B541" s="34">
        <v>387.35</v>
      </c>
      <c r="C541" s="34">
        <v>12897667</v>
      </c>
    </row>
    <row r="542" spans="1:3" ht="15.75" thickBot="1">
      <c r="A542" s="38">
        <v>45026</v>
      </c>
      <c r="B542" s="34">
        <v>388.55</v>
      </c>
      <c r="C542" s="34">
        <v>6783022</v>
      </c>
    </row>
    <row r="543" spans="1:3" ht="15.75" thickBot="1">
      <c r="A543" s="38">
        <v>45027</v>
      </c>
      <c r="B543" s="34">
        <v>396</v>
      </c>
      <c r="C543" s="34">
        <v>18237451</v>
      </c>
    </row>
    <row r="544" spans="1:3" ht="15.75" thickBot="1">
      <c r="A544" s="38">
        <v>45028</v>
      </c>
      <c r="B544" s="34">
        <v>393.55</v>
      </c>
      <c r="C544" s="34">
        <v>9747526</v>
      </c>
    </row>
    <row r="545" spans="1:3" ht="15.75" thickBot="1">
      <c r="A545" s="38">
        <v>45029</v>
      </c>
      <c r="B545" s="34">
        <v>395.6</v>
      </c>
      <c r="C545" s="34">
        <v>6059044</v>
      </c>
    </row>
    <row r="546" spans="1:3" ht="15.75" thickBot="1">
      <c r="A546" s="38">
        <v>45033</v>
      </c>
      <c r="B546" s="34">
        <v>400.15</v>
      </c>
      <c r="C546" s="34">
        <v>11041243</v>
      </c>
    </row>
    <row r="547" spans="1:3" ht="15.75" thickBot="1">
      <c r="A547" s="38">
        <v>45034</v>
      </c>
      <c r="B547" s="34">
        <v>398.5</v>
      </c>
      <c r="C547" s="34">
        <v>9494641</v>
      </c>
    </row>
    <row r="548" spans="1:3" ht="15.75" thickBot="1">
      <c r="A548" s="38">
        <v>45035</v>
      </c>
      <c r="B548" s="34">
        <v>398.75</v>
      </c>
      <c r="C548" s="34">
        <v>9744202</v>
      </c>
    </row>
    <row r="549" spans="1:3" ht="15.75" thickBot="1">
      <c r="A549" s="38">
        <v>45036</v>
      </c>
      <c r="B549" s="34">
        <v>400.3</v>
      </c>
      <c r="C549" s="34">
        <v>6667781</v>
      </c>
    </row>
    <row r="550" spans="1:3" ht="15.75" thickBot="1">
      <c r="A550" s="38">
        <v>45037</v>
      </c>
      <c r="B550" s="34">
        <v>408.25</v>
      </c>
      <c r="C550" s="34">
        <v>14252204</v>
      </c>
    </row>
    <row r="551" spans="1:3" ht="15.75" thickBot="1">
      <c r="A551" s="38">
        <v>45040</v>
      </c>
      <c r="B551" s="34">
        <v>408.7</v>
      </c>
      <c r="C551" s="34">
        <v>5981760</v>
      </c>
    </row>
    <row r="552" spans="1:3" ht="15.75" thickBot="1">
      <c r="A552" s="38">
        <v>45041</v>
      </c>
      <c r="B552" s="34">
        <v>411.55</v>
      </c>
      <c r="C552" s="34">
        <v>8840188</v>
      </c>
    </row>
    <row r="553" spans="1:3" ht="15.75" thickBot="1">
      <c r="A553" s="38">
        <v>45042</v>
      </c>
      <c r="B553" s="34">
        <v>412.25</v>
      </c>
      <c r="C553" s="34">
        <v>7620723</v>
      </c>
    </row>
    <row r="554" spans="1:3" ht="15.75" thickBot="1">
      <c r="A554" s="38">
        <v>45043</v>
      </c>
      <c r="B554" s="34">
        <v>416</v>
      </c>
      <c r="C554" s="34">
        <v>12614263</v>
      </c>
    </row>
    <row r="555" spans="1:3" ht="15.75" thickBot="1">
      <c r="A555" s="38">
        <v>45044</v>
      </c>
      <c r="B555" s="34">
        <v>425.55</v>
      </c>
      <c r="C555" s="34">
        <v>12718721</v>
      </c>
    </row>
    <row r="556" spans="1:3" ht="15.75" thickBot="1">
      <c r="A556" s="38">
        <v>45048</v>
      </c>
      <c r="B556" s="34">
        <v>424.45</v>
      </c>
      <c r="C556" s="34">
        <v>10253527</v>
      </c>
    </row>
    <row r="557" spans="1:3" ht="15.75" thickBot="1">
      <c r="A557" s="38">
        <v>45049</v>
      </c>
      <c r="B557" s="34">
        <v>427.15</v>
      </c>
      <c r="C557" s="34">
        <v>7325483</v>
      </c>
    </row>
    <row r="558" spans="1:3" ht="15.75" thickBot="1">
      <c r="A558" s="38">
        <v>45050</v>
      </c>
      <c r="B558" s="34">
        <v>424.6</v>
      </c>
      <c r="C558" s="34">
        <v>7984933</v>
      </c>
    </row>
    <row r="559" spans="1:3" ht="15.75" thickBot="1">
      <c r="A559" s="38">
        <v>45051</v>
      </c>
      <c r="B559" s="34">
        <v>428.75</v>
      </c>
      <c r="C559" s="34">
        <v>12412416</v>
      </c>
    </row>
    <row r="560" spans="1:3" ht="15.75" thickBot="1">
      <c r="A560" s="38">
        <v>45054</v>
      </c>
      <c r="B560" s="34">
        <v>431.45</v>
      </c>
      <c r="C560" s="34">
        <v>7243636</v>
      </c>
    </row>
    <row r="561" spans="1:3" ht="15.75" thickBot="1">
      <c r="A561" s="38">
        <v>45055</v>
      </c>
      <c r="B561" s="34">
        <v>423.8</v>
      </c>
      <c r="C561" s="34">
        <v>9992962</v>
      </c>
    </row>
    <row r="562" spans="1:3" ht="15.75" thickBot="1">
      <c r="A562" s="38">
        <v>45056</v>
      </c>
      <c r="B562" s="34">
        <v>425.35</v>
      </c>
      <c r="C562" s="34">
        <v>9754485</v>
      </c>
    </row>
    <row r="563" spans="1:3" ht="15.75" thickBot="1">
      <c r="A563" s="38">
        <v>45057</v>
      </c>
      <c r="B563" s="34">
        <v>420.4</v>
      </c>
      <c r="C563" s="34">
        <v>15982423</v>
      </c>
    </row>
    <row r="564" spans="1:3" ht="15.75" thickBot="1">
      <c r="A564" s="38">
        <v>45058</v>
      </c>
      <c r="B564" s="34">
        <v>420.45</v>
      </c>
      <c r="C564" s="34">
        <v>11135894</v>
      </c>
    </row>
    <row r="565" spans="1:3" ht="15.75" thickBot="1">
      <c r="A565" s="38">
        <v>45061</v>
      </c>
      <c r="B565" s="34">
        <v>427.8</v>
      </c>
      <c r="C565" s="34">
        <v>9151102</v>
      </c>
    </row>
    <row r="566" spans="1:3" ht="15.75" thickBot="1">
      <c r="A566" s="38">
        <v>45062</v>
      </c>
      <c r="B566" s="34">
        <v>423.95</v>
      </c>
      <c r="C566" s="34">
        <v>7994197</v>
      </c>
    </row>
    <row r="567" spans="1:3" ht="15.75" thickBot="1">
      <c r="A567" s="38">
        <v>45063</v>
      </c>
      <c r="B567" s="34">
        <v>427.6</v>
      </c>
      <c r="C567" s="34">
        <v>9479691</v>
      </c>
    </row>
    <row r="568" spans="1:3" ht="15.75" thickBot="1">
      <c r="A568" s="38">
        <v>45064</v>
      </c>
      <c r="B568" s="34">
        <v>419.7</v>
      </c>
      <c r="C568" s="34">
        <v>23995166</v>
      </c>
    </row>
    <row r="569" spans="1:3" ht="15.75" thickBot="1">
      <c r="A569" s="38">
        <v>45065</v>
      </c>
      <c r="B569" s="34">
        <v>419.85</v>
      </c>
      <c r="C569" s="34">
        <v>25767521</v>
      </c>
    </row>
    <row r="570" spans="1:3" ht="15.75" thickBot="1">
      <c r="A570" s="38">
        <v>45068</v>
      </c>
      <c r="B570" s="34">
        <v>424.75</v>
      </c>
      <c r="C570" s="34">
        <v>15421680</v>
      </c>
    </row>
    <row r="571" spans="1:3" ht="15.75" thickBot="1">
      <c r="A571" s="38">
        <v>45069</v>
      </c>
      <c r="B571" s="34">
        <v>429.15</v>
      </c>
      <c r="C571" s="34">
        <v>8732608</v>
      </c>
    </row>
    <row r="572" spans="1:3" ht="15.75" thickBot="1">
      <c r="A572" s="38">
        <v>45070</v>
      </c>
      <c r="B572" s="34">
        <v>433.5</v>
      </c>
      <c r="C572" s="34">
        <v>11479706</v>
      </c>
    </row>
    <row r="573" spans="1:3" ht="15.75" thickBot="1">
      <c r="A573" s="38">
        <v>45071</v>
      </c>
      <c r="B573" s="34">
        <v>441.15</v>
      </c>
      <c r="C573" s="34">
        <v>18204464</v>
      </c>
    </row>
    <row r="574" spans="1:3" ht="15.75" thickBot="1">
      <c r="A574" s="38">
        <v>45072</v>
      </c>
      <c r="B574" s="34">
        <v>443.6</v>
      </c>
      <c r="C574" s="34">
        <v>12995706</v>
      </c>
    </row>
    <row r="575" spans="1:3" ht="15.75" thickBot="1">
      <c r="A575" s="38">
        <v>45075</v>
      </c>
      <c r="B575" s="34">
        <v>449.1</v>
      </c>
      <c r="C575" s="34">
        <v>19826254</v>
      </c>
    </row>
    <row r="576" spans="1:3" ht="15.75" thickBot="1">
      <c r="A576" s="38">
        <v>45076</v>
      </c>
      <c r="B576" s="34">
        <v>449.9</v>
      </c>
      <c r="C576" s="34">
        <v>18900002</v>
      </c>
    </row>
    <row r="577" spans="1:3" ht="15.75" thickBot="1">
      <c r="A577" s="38">
        <v>45077</v>
      </c>
      <c r="B577" s="34">
        <v>445.5</v>
      </c>
      <c r="C577" s="34">
        <v>14272292</v>
      </c>
    </row>
    <row r="578" spans="1:3" ht="15.75" thickBot="1">
      <c r="A578" s="38">
        <v>45078</v>
      </c>
      <c r="B578" s="34">
        <v>439.7</v>
      </c>
      <c r="C578" s="34">
        <v>8803137</v>
      </c>
    </row>
    <row r="579" spans="1:3" ht="15.75" thickBot="1">
      <c r="A579" s="38">
        <v>45079</v>
      </c>
      <c r="B579" s="34">
        <v>443.4</v>
      </c>
      <c r="C579" s="34">
        <v>9203842</v>
      </c>
    </row>
    <row r="580" spans="1:3" ht="15.75" thickBot="1">
      <c r="A580" s="38">
        <v>45082</v>
      </c>
      <c r="B580" s="34">
        <v>440.65</v>
      </c>
      <c r="C580" s="34">
        <v>7152179</v>
      </c>
    </row>
    <row r="581" spans="1:3" ht="15.75" thickBot="1">
      <c r="A581" s="38">
        <v>45083</v>
      </c>
      <c r="B581" s="34">
        <v>442.8</v>
      </c>
      <c r="C581" s="34">
        <v>6454486</v>
      </c>
    </row>
    <row r="582" spans="1:3" ht="15.75" thickBot="1">
      <c r="A582" s="38">
        <v>45084</v>
      </c>
      <c r="B582" s="34">
        <v>443.95</v>
      </c>
      <c r="C582" s="34">
        <v>7543432</v>
      </c>
    </row>
    <row r="583" spans="1:3" ht="15.75" thickBot="1">
      <c r="A583" s="38">
        <v>45085</v>
      </c>
      <c r="B583" s="34">
        <v>442.9</v>
      </c>
      <c r="C583" s="34">
        <v>7024424</v>
      </c>
    </row>
    <row r="584" spans="1:3" ht="15.75" thickBot="1">
      <c r="A584" s="38">
        <v>45086</v>
      </c>
      <c r="B584" s="34">
        <v>438.45</v>
      </c>
      <c r="C584" s="34">
        <v>7057843</v>
      </c>
    </row>
    <row r="585" spans="1:3" ht="15.75" thickBot="1">
      <c r="A585" s="38">
        <v>45089</v>
      </c>
      <c r="B585" s="34">
        <v>436.95</v>
      </c>
      <c r="C585" s="34">
        <v>8719176</v>
      </c>
    </row>
    <row r="586" spans="1:3" ht="15.75" thickBot="1">
      <c r="A586" s="38">
        <v>45090</v>
      </c>
      <c r="B586" s="34">
        <v>445.4</v>
      </c>
      <c r="C586" s="34">
        <v>16111860</v>
      </c>
    </row>
    <row r="587" spans="1:3" ht="15.75" thickBot="1">
      <c r="A587" s="38">
        <v>45091</v>
      </c>
      <c r="B587" s="34">
        <v>444.5</v>
      </c>
      <c r="C587" s="34">
        <v>8704178</v>
      </c>
    </row>
    <row r="588" spans="1:3" ht="15.75" thickBot="1">
      <c r="A588" s="38">
        <v>45092</v>
      </c>
      <c r="B588" s="34">
        <v>448.1</v>
      </c>
      <c r="C588" s="34">
        <v>7498727</v>
      </c>
    </row>
    <row r="589" spans="1:3" ht="15.75" thickBot="1">
      <c r="A589" s="38">
        <v>45093</v>
      </c>
      <c r="B589" s="34">
        <v>453.1</v>
      </c>
      <c r="C589" s="34">
        <v>11729681</v>
      </c>
    </row>
    <row r="590" spans="1:3" ht="15.75" thickBot="1">
      <c r="A590" s="38">
        <v>45096</v>
      </c>
      <c r="B590" s="34">
        <v>453.6</v>
      </c>
      <c r="C590" s="34">
        <v>4189180</v>
      </c>
    </row>
    <row r="591" spans="1:3" ht="15.75" thickBot="1">
      <c r="A591" s="38">
        <v>45097</v>
      </c>
      <c r="B591" s="34">
        <v>452.85</v>
      </c>
      <c r="C591" s="34">
        <v>4472119</v>
      </c>
    </row>
    <row r="592" spans="1:3" ht="15.75" thickBot="1">
      <c r="A592" s="38">
        <v>45098</v>
      </c>
      <c r="B592" s="34">
        <v>447.05</v>
      </c>
      <c r="C592" s="34">
        <v>6059504</v>
      </c>
    </row>
    <row r="593" spans="1:3" ht="15.75" thickBot="1">
      <c r="A593" s="38">
        <v>45099</v>
      </c>
      <c r="B593" s="34">
        <v>447.65</v>
      </c>
      <c r="C593" s="34">
        <v>6637099</v>
      </c>
    </row>
    <row r="594" spans="1:3" ht="15.75" thickBot="1">
      <c r="A594" s="38">
        <v>45100</v>
      </c>
      <c r="B594" s="34">
        <v>444.75</v>
      </c>
      <c r="C594" s="34">
        <v>6090901</v>
      </c>
    </row>
    <row r="595" spans="1:3" ht="15.75" thickBot="1">
      <c r="A595" s="38">
        <v>45103</v>
      </c>
      <c r="B595" s="34">
        <v>445.7</v>
      </c>
      <c r="C595" s="34">
        <v>5477339</v>
      </c>
    </row>
    <row r="596" spans="1:3" ht="15.75" thickBot="1">
      <c r="A596" s="38">
        <v>45104</v>
      </c>
      <c r="B596" s="34">
        <v>445.1</v>
      </c>
      <c r="C596" s="34">
        <v>4865596</v>
      </c>
    </row>
    <row r="597" spans="1:3" ht="15.75" thickBot="1">
      <c r="A597" s="38">
        <v>45105</v>
      </c>
      <c r="B597" s="34">
        <v>449.35</v>
      </c>
      <c r="C597" s="34">
        <v>12082753</v>
      </c>
    </row>
    <row r="598" spans="1:3" ht="15.75" thickBot="1">
      <c r="A598" s="38">
        <v>45107</v>
      </c>
      <c r="B598" s="34">
        <v>451.6</v>
      </c>
      <c r="C598" s="34">
        <v>9106074</v>
      </c>
    </row>
    <row r="599" spans="1:3" ht="15.75" thickBot="1">
      <c r="A599" s="38">
        <v>45110</v>
      </c>
      <c r="B599" s="34">
        <v>463.25</v>
      </c>
      <c r="C599" s="34">
        <v>10699143</v>
      </c>
    </row>
    <row r="600" spans="1:3" ht="15.75" thickBot="1">
      <c r="A600" s="38">
        <v>45111</v>
      </c>
      <c r="B600" s="34">
        <v>466.35</v>
      </c>
      <c r="C600" s="34">
        <v>7725081</v>
      </c>
    </row>
    <row r="601" spans="1:3" ht="15.75" thickBot="1">
      <c r="A601" s="38">
        <v>45112</v>
      </c>
      <c r="B601" s="34">
        <v>475.1</v>
      </c>
      <c r="C601" s="34">
        <v>16252992</v>
      </c>
    </row>
    <row r="602" spans="1:3" ht="15.75" thickBot="1">
      <c r="A602" s="38">
        <v>45113</v>
      </c>
      <c r="B602" s="34">
        <v>473.9</v>
      </c>
      <c r="C602" s="34">
        <v>9471054</v>
      </c>
    </row>
    <row r="603" spans="1:3" ht="15.75" thickBot="1">
      <c r="A603" s="38">
        <v>45114</v>
      </c>
      <c r="B603" s="34">
        <v>468.4</v>
      </c>
      <c r="C603" s="34">
        <v>7323451</v>
      </c>
    </row>
    <row r="604" spans="1:3" ht="15.75" thickBot="1">
      <c r="A604" s="38">
        <v>45117</v>
      </c>
      <c r="B604" s="34">
        <v>465.85</v>
      </c>
      <c r="C604" s="34">
        <v>6521300</v>
      </c>
    </row>
    <row r="605" spans="1:3" ht="15.75" thickBot="1">
      <c r="A605" s="38">
        <v>45118</v>
      </c>
      <c r="B605" s="34">
        <v>473.15</v>
      </c>
      <c r="C605" s="34">
        <v>8457557</v>
      </c>
    </row>
    <row r="606" spans="1:3" ht="15.75" thickBot="1">
      <c r="A606" s="38">
        <v>45119</v>
      </c>
      <c r="B606" s="34">
        <v>472.3</v>
      </c>
      <c r="C606" s="34">
        <v>12340934</v>
      </c>
    </row>
    <row r="607" spans="1:3" ht="15.75" thickBot="1">
      <c r="A607" s="38">
        <v>45120</v>
      </c>
      <c r="B607" s="34">
        <v>472</v>
      </c>
      <c r="C607" s="34">
        <v>7909757</v>
      </c>
    </row>
    <row r="608" spans="1:3" ht="15.75" thickBot="1">
      <c r="A608" s="38">
        <v>45121</v>
      </c>
      <c r="B608" s="34">
        <v>472.9</v>
      </c>
      <c r="C608" s="34">
        <v>5081391</v>
      </c>
    </row>
    <row r="609" spans="1:3" ht="15.75" thickBot="1">
      <c r="A609" s="38">
        <v>45124</v>
      </c>
      <c r="B609" s="34">
        <v>472.35</v>
      </c>
      <c r="C609" s="34">
        <v>6090738</v>
      </c>
    </row>
    <row r="610" spans="1:3" ht="15.75" thickBot="1">
      <c r="A610" s="38">
        <v>45125</v>
      </c>
      <c r="B610" s="34">
        <v>472.5</v>
      </c>
      <c r="C610" s="34">
        <v>5352283</v>
      </c>
    </row>
    <row r="611" spans="1:3" ht="15.75" thickBot="1">
      <c r="A611" s="38">
        <v>45126</v>
      </c>
      <c r="B611" s="34">
        <v>478.85</v>
      </c>
      <c r="C611" s="34">
        <v>13867323</v>
      </c>
    </row>
    <row r="612" spans="1:3" ht="15.75" thickBot="1">
      <c r="A612" s="38">
        <v>45127</v>
      </c>
      <c r="B612" s="34">
        <v>492.15</v>
      </c>
      <c r="C612" s="34">
        <v>20250206</v>
      </c>
    </row>
    <row r="613" spans="1:3" ht="15.75" thickBot="1">
      <c r="A613" s="38">
        <v>45128</v>
      </c>
      <c r="B613" s="34">
        <v>490.45</v>
      </c>
      <c r="C613" s="34">
        <v>13971982</v>
      </c>
    </row>
    <row r="614" spans="1:3" ht="15.75" thickBot="1">
      <c r="A614" s="38">
        <v>45131</v>
      </c>
      <c r="B614" s="34">
        <v>471.35</v>
      </c>
      <c r="C614" s="34">
        <v>38976815</v>
      </c>
    </row>
    <row r="615" spans="1:3" ht="15.75" thickBot="1">
      <c r="A615" s="38">
        <v>45132</v>
      </c>
      <c r="B615" s="34">
        <v>462.3</v>
      </c>
      <c r="C615" s="34">
        <v>43534718</v>
      </c>
    </row>
    <row r="616" spans="1:3" ht="15.75" thickBot="1">
      <c r="A616" s="38">
        <v>45133</v>
      </c>
      <c r="B616" s="34">
        <v>472.25</v>
      </c>
      <c r="C616" s="34">
        <v>18143422</v>
      </c>
    </row>
    <row r="617" spans="1:3" ht="15.75" thickBot="1">
      <c r="A617" s="38">
        <v>45134</v>
      </c>
      <c r="B617" s="34">
        <v>465.05</v>
      </c>
      <c r="C617" s="34">
        <v>13989457</v>
      </c>
    </row>
    <row r="618" spans="1:3" ht="15.75" thickBot="1">
      <c r="A618" s="38">
        <v>45135</v>
      </c>
      <c r="B618" s="34">
        <v>468.45</v>
      </c>
      <c r="C618" s="34">
        <v>9978231</v>
      </c>
    </row>
    <row r="619" spans="1:3" ht="15.75" thickBot="1">
      <c r="A619" s="38">
        <v>45138</v>
      </c>
      <c r="B619" s="34">
        <v>465.7</v>
      </c>
      <c r="C619" s="34">
        <v>8194797</v>
      </c>
    </row>
    <row r="620" spans="1:3" ht="15.75" thickBot="1">
      <c r="A620" s="38">
        <v>45139</v>
      </c>
      <c r="B620" s="34">
        <v>464.8</v>
      </c>
      <c r="C620" s="34">
        <v>6438221</v>
      </c>
    </row>
    <row r="621" spans="1:3" ht="15.75" thickBot="1">
      <c r="A621" s="38">
        <v>45140</v>
      </c>
      <c r="B621" s="34">
        <v>460.1</v>
      </c>
      <c r="C621" s="34">
        <v>10318220</v>
      </c>
    </row>
    <row r="622" spans="1:3" ht="15.75" thickBot="1">
      <c r="A622" s="38">
        <v>45141</v>
      </c>
      <c r="B622" s="34">
        <v>456.05</v>
      </c>
      <c r="C622" s="34">
        <v>10617897</v>
      </c>
    </row>
    <row r="623" spans="1:3" ht="15.75" thickBot="1">
      <c r="A623" s="38">
        <v>45142</v>
      </c>
      <c r="B623" s="34">
        <v>454.95</v>
      </c>
      <c r="C623" s="34">
        <v>6834401</v>
      </c>
    </row>
    <row r="624" spans="1:3" ht="15.75" thickBot="1">
      <c r="A624" s="38">
        <v>45145</v>
      </c>
      <c r="B624" s="34">
        <v>454.9</v>
      </c>
      <c r="C624" s="34">
        <v>9161131</v>
      </c>
    </row>
    <row r="625" spans="1:3" ht="15.75" thickBot="1">
      <c r="A625" s="38">
        <v>45146</v>
      </c>
      <c r="B625" s="34">
        <v>452.35</v>
      </c>
      <c r="C625" s="34">
        <v>6392488</v>
      </c>
    </row>
    <row r="626" spans="1:3" ht="15.75" thickBot="1">
      <c r="A626" s="38">
        <v>45147</v>
      </c>
      <c r="B626" s="34">
        <v>458.65</v>
      </c>
      <c r="C626" s="34">
        <v>9758343</v>
      </c>
    </row>
    <row r="627" spans="1:3" ht="15.75" thickBot="1">
      <c r="A627" s="38">
        <v>45148</v>
      </c>
      <c r="B627" s="34">
        <v>451.75</v>
      </c>
      <c r="C627" s="34">
        <v>13194170</v>
      </c>
    </row>
    <row r="628" spans="1:3" ht="15.75" thickBot="1">
      <c r="A628" s="38">
        <v>45149</v>
      </c>
      <c r="B628" s="34">
        <v>448.75</v>
      </c>
      <c r="C628" s="34">
        <v>11582326</v>
      </c>
    </row>
    <row r="629" spans="1:3" ht="15.75" thickBot="1">
      <c r="A629" s="38">
        <v>45152</v>
      </c>
      <c r="B629" s="34">
        <v>449.2</v>
      </c>
      <c r="C629" s="34">
        <v>7562808</v>
      </c>
    </row>
    <row r="630" spans="1:3" ht="15.75" thickBot="1">
      <c r="A630" s="38">
        <v>45154</v>
      </c>
      <c r="B630" s="34">
        <v>450.25</v>
      </c>
      <c r="C630" s="34">
        <v>14920272</v>
      </c>
    </row>
    <row r="631" spans="1:3" ht="15.75" thickBot="1">
      <c r="A631" s="38">
        <v>45155</v>
      </c>
      <c r="B631" s="34">
        <v>441</v>
      </c>
      <c r="C631" s="34">
        <v>16269569</v>
      </c>
    </row>
    <row r="632" spans="1:3" ht="15.75" thickBot="1">
      <c r="A632" s="38">
        <v>45156</v>
      </c>
      <c r="B632" s="34">
        <v>441.65</v>
      </c>
      <c r="C632" s="34">
        <v>19324262</v>
      </c>
    </row>
    <row r="633" spans="1:3" ht="15.75" thickBot="1">
      <c r="A633" s="38">
        <v>45159</v>
      </c>
      <c r="B633" s="34">
        <v>447.8</v>
      </c>
      <c r="C633" s="34">
        <v>9572041</v>
      </c>
    </row>
    <row r="634" spans="1:3" ht="15.75" thickBot="1">
      <c r="A634" s="38">
        <v>45160</v>
      </c>
      <c r="B634" s="34">
        <v>454.25</v>
      </c>
      <c r="C634" s="34">
        <v>9854945</v>
      </c>
    </row>
    <row r="635" spans="1:3" ht="15.75" thickBot="1">
      <c r="A635" s="38">
        <v>45161</v>
      </c>
      <c r="B635" s="34">
        <v>450.45</v>
      </c>
      <c r="C635" s="34">
        <v>8445029</v>
      </c>
    </row>
    <row r="636" spans="1:3" ht="15.75" thickBot="1">
      <c r="A636" s="38">
        <v>45162</v>
      </c>
      <c r="B636" s="34">
        <v>450.9</v>
      </c>
      <c r="C636" s="34">
        <v>6088274</v>
      </c>
    </row>
    <row r="637" spans="1:3" ht="15.75" thickBot="1">
      <c r="A637" s="38">
        <v>45163</v>
      </c>
      <c r="B637" s="34">
        <v>443.35</v>
      </c>
      <c r="C637" s="34">
        <v>9270988</v>
      </c>
    </row>
    <row r="638" spans="1:3" ht="15.75" thickBot="1">
      <c r="A638" s="38">
        <v>45166</v>
      </c>
      <c r="B638" s="34">
        <v>441.4</v>
      </c>
      <c r="C638" s="34">
        <v>6910750</v>
      </c>
    </row>
    <row r="639" spans="1:3" ht="15.75" thickBot="1">
      <c r="A639" s="38">
        <v>45167</v>
      </c>
      <c r="B639" s="34">
        <v>440.1</v>
      </c>
      <c r="C639" s="34">
        <v>9480003</v>
      </c>
    </row>
    <row r="640" spans="1:3" ht="15.75" thickBot="1">
      <c r="A640" s="38">
        <v>45168</v>
      </c>
      <c r="B640" s="34">
        <v>442.8</v>
      </c>
      <c r="C640" s="34">
        <v>7364924</v>
      </c>
    </row>
    <row r="641" spans="1:3" ht="15.75" thickBot="1">
      <c r="A641" s="38">
        <v>45169</v>
      </c>
      <c r="B641" s="34">
        <v>439.7</v>
      </c>
      <c r="C641" s="34">
        <v>19900312</v>
      </c>
    </row>
    <row r="642" spans="1:3" ht="15.75" thickBot="1">
      <c r="A642" s="38">
        <v>45170</v>
      </c>
      <c r="B642" s="34">
        <v>441.05</v>
      </c>
      <c r="C642" s="34">
        <v>11438624</v>
      </c>
    </row>
    <row r="643" spans="1:3" ht="15.75" thickBot="1">
      <c r="A643" s="38">
        <v>45173</v>
      </c>
      <c r="B643" s="34">
        <v>437.5</v>
      </c>
      <c r="C643" s="34">
        <v>13604608</v>
      </c>
    </row>
    <row r="644" spans="1:3" ht="15.75" thickBot="1">
      <c r="A644" s="38">
        <v>45174</v>
      </c>
      <c r="B644" s="34">
        <v>443.1</v>
      </c>
      <c r="C644" s="34">
        <v>8378915</v>
      </c>
    </row>
    <row r="645" spans="1:3" ht="15.75" thickBot="1">
      <c r="A645" s="38">
        <v>45175</v>
      </c>
      <c r="B645" s="34">
        <v>447.45</v>
      </c>
      <c r="C645" s="34">
        <v>12863039</v>
      </c>
    </row>
    <row r="646" spans="1:3" ht="15.75" thickBot="1">
      <c r="A646" s="38">
        <v>45176</v>
      </c>
      <c r="B646" s="34">
        <v>445.9</v>
      </c>
      <c r="C646" s="34">
        <v>8090369</v>
      </c>
    </row>
    <row r="647" spans="1:3" ht="15.75" thickBot="1">
      <c r="A647" s="38">
        <v>45177</v>
      </c>
      <c r="B647" s="34">
        <v>442.65</v>
      </c>
      <c r="C647" s="34">
        <v>9939517</v>
      </c>
    </row>
    <row r="648" spans="1:3" ht="15.75" thickBot="1">
      <c r="A648" s="38">
        <v>45180</v>
      </c>
      <c r="B648" s="34">
        <v>447.2</v>
      </c>
      <c r="C648" s="34">
        <v>9320577</v>
      </c>
    </row>
    <row r="649" spans="1:3" ht="15.75" thickBot="1">
      <c r="A649" s="38">
        <v>45181</v>
      </c>
      <c r="B649" s="34">
        <v>451.15</v>
      </c>
      <c r="C649" s="34">
        <v>14406441</v>
      </c>
    </row>
    <row r="650" spans="1:3" ht="15.75" thickBot="1">
      <c r="A650" s="38">
        <v>45182</v>
      </c>
      <c r="B650" s="34">
        <v>453.5</v>
      </c>
      <c r="C650" s="34">
        <v>11813170</v>
      </c>
    </row>
    <row r="651" spans="1:3" ht="15.75" thickBot="1">
      <c r="A651" s="38">
        <v>45183</v>
      </c>
      <c r="B651" s="34">
        <v>449.95</v>
      </c>
      <c r="C651" s="34">
        <v>14430930</v>
      </c>
    </row>
    <row r="652" spans="1:3" ht="15.75" thickBot="1">
      <c r="A652" s="38">
        <v>45184</v>
      </c>
      <c r="B652" s="34">
        <v>448.35</v>
      </c>
      <c r="C652" s="34">
        <v>15077136</v>
      </c>
    </row>
    <row r="653" spans="1:3" ht="15.75" thickBot="1">
      <c r="A653" s="38">
        <v>45187</v>
      </c>
      <c r="B653" s="34">
        <v>452.05</v>
      </c>
      <c r="C653" s="34">
        <v>8197425</v>
      </c>
    </row>
    <row r="654" spans="1:3" ht="15.75" thickBot="1">
      <c r="A654" s="38">
        <v>45189</v>
      </c>
      <c r="B654" s="34">
        <v>452.95</v>
      </c>
      <c r="C654" s="34">
        <v>9959649</v>
      </c>
    </row>
    <row r="655" spans="1:3" ht="15.75" thickBot="1">
      <c r="A655" s="38">
        <v>45190</v>
      </c>
      <c r="B655" s="34">
        <v>447.5</v>
      </c>
      <c r="C655" s="34">
        <v>10719470</v>
      </c>
    </row>
    <row r="656" spans="1:3" ht="15.75" thickBot="1">
      <c r="A656" s="38">
        <v>45191</v>
      </c>
      <c r="B656" s="34">
        <v>443.1</v>
      </c>
      <c r="C656" s="34">
        <v>7506309</v>
      </c>
    </row>
    <row r="657" spans="1:3" ht="15.75" thickBot="1">
      <c r="A657" s="38">
        <v>45194</v>
      </c>
      <c r="B657" s="34">
        <v>442.6</v>
      </c>
      <c r="C657" s="34">
        <v>5782955</v>
      </c>
    </row>
    <row r="658" spans="1:3" ht="15.75" thickBot="1">
      <c r="A658" s="38">
        <v>45195</v>
      </c>
      <c r="B658" s="34">
        <v>442.45</v>
      </c>
      <c r="C658" s="34">
        <v>5327833</v>
      </c>
    </row>
    <row r="659" spans="1:3" ht="15.75" thickBot="1">
      <c r="A659" s="38">
        <v>45196</v>
      </c>
      <c r="B659" s="34">
        <v>449.15</v>
      </c>
      <c r="C659" s="34">
        <v>10490786</v>
      </c>
    </row>
    <row r="660" spans="1:3" ht="15.75" thickBot="1">
      <c r="A660" s="38">
        <v>45197</v>
      </c>
      <c r="B660" s="34">
        <v>440.75</v>
      </c>
      <c r="C660" s="34">
        <v>10216736</v>
      </c>
    </row>
    <row r="661" spans="1:3" ht="15.75" thickBot="1">
      <c r="A661" s="38">
        <v>45198</v>
      </c>
      <c r="B661" s="34">
        <v>444.4</v>
      </c>
      <c r="C661" s="34">
        <v>8160058</v>
      </c>
    </row>
    <row r="662" spans="1:3" ht="15.75" thickBot="1">
      <c r="A662" s="38">
        <v>45202</v>
      </c>
      <c r="B662" s="34">
        <v>439.75</v>
      </c>
      <c r="C662" s="34">
        <v>7481883</v>
      </c>
    </row>
    <row r="663" spans="1:3" ht="15.75" thickBot="1">
      <c r="A663" s="38">
        <v>45203</v>
      </c>
      <c r="B663" s="34">
        <v>436.1</v>
      </c>
      <c r="C663" s="34">
        <v>13396709</v>
      </c>
    </row>
    <row r="664" spans="1:3" ht="15.75" thickBot="1">
      <c r="A664" s="38">
        <v>45204</v>
      </c>
      <c r="B664" s="34">
        <v>436.05</v>
      </c>
      <c r="C664" s="34">
        <v>10030257</v>
      </c>
    </row>
    <row r="665" spans="1:3" ht="15.75" thickBot="1">
      <c r="A665" s="38">
        <v>45205</v>
      </c>
      <c r="B665" s="34">
        <v>442.15</v>
      </c>
      <c r="C665" s="34">
        <v>8418580</v>
      </c>
    </row>
    <row r="666" spans="1:3" ht="15.75" thickBot="1">
      <c r="A666" s="38">
        <v>45208</v>
      </c>
      <c r="B666" s="34">
        <v>440.45</v>
      </c>
      <c r="C666" s="34">
        <v>5611154</v>
      </c>
    </row>
    <row r="667" spans="1:3" ht="15.75" thickBot="1">
      <c r="A667" s="38">
        <v>45209</v>
      </c>
      <c r="B667" s="34">
        <v>444.4</v>
      </c>
      <c r="C667" s="34">
        <v>5014758</v>
      </c>
    </row>
    <row r="668" spans="1:3" ht="15.75" thickBot="1">
      <c r="A668" s="38">
        <v>45210</v>
      </c>
      <c r="B668" s="34">
        <v>448.25</v>
      </c>
      <c r="C668" s="34">
        <v>7651513</v>
      </c>
    </row>
    <row r="669" spans="1:3" ht="15.75" thickBot="1">
      <c r="A669" s="38">
        <v>45211</v>
      </c>
      <c r="B669" s="34">
        <v>450.7</v>
      </c>
      <c r="C669" s="34">
        <v>11774487</v>
      </c>
    </row>
    <row r="670" spans="1:3" ht="15.75" thickBot="1">
      <c r="A670" s="38">
        <v>45212</v>
      </c>
      <c r="B670" s="34">
        <v>448.35</v>
      </c>
      <c r="C670" s="34">
        <v>7632483</v>
      </c>
    </row>
    <row r="671" spans="1:3" ht="15.75" thickBot="1">
      <c r="A671" s="38">
        <v>45215</v>
      </c>
      <c r="B671" s="34">
        <v>448.95</v>
      </c>
      <c r="C671" s="34">
        <v>4214958</v>
      </c>
    </row>
    <row r="672" spans="1:3" ht="15.75" thickBot="1">
      <c r="A672" s="38">
        <v>45216</v>
      </c>
      <c r="B672" s="34">
        <v>453.45</v>
      </c>
      <c r="C672" s="34">
        <v>6936218</v>
      </c>
    </row>
    <row r="673" spans="1:3" ht="15.75" thickBot="1">
      <c r="A673" s="38">
        <v>45217</v>
      </c>
      <c r="B673" s="34">
        <v>451.65</v>
      </c>
      <c r="C673" s="34">
        <v>6894947</v>
      </c>
    </row>
    <row r="674" spans="1:3" ht="15.75" thickBot="1">
      <c r="A674" s="38">
        <v>45218</v>
      </c>
      <c r="B674" s="34">
        <v>450.4</v>
      </c>
      <c r="C674" s="34">
        <v>9465463</v>
      </c>
    </row>
    <row r="675" spans="1:3" ht="15.75" thickBot="1">
      <c r="A675" s="38">
        <v>45219</v>
      </c>
      <c r="B675" s="34">
        <v>438.3</v>
      </c>
      <c r="C675" s="34">
        <v>13020371</v>
      </c>
    </row>
    <row r="676" spans="1:3" ht="15.75" thickBot="1">
      <c r="A676" s="38">
        <v>45222</v>
      </c>
      <c r="B676" s="34">
        <v>435.9</v>
      </c>
      <c r="C676" s="34">
        <v>7275471</v>
      </c>
    </row>
    <row r="677" spans="1:3" ht="15.75" thickBot="1">
      <c r="A677" s="38">
        <v>45224</v>
      </c>
      <c r="B677" s="34">
        <v>432.7</v>
      </c>
      <c r="C677" s="34">
        <v>10889221</v>
      </c>
    </row>
    <row r="678" spans="1:3" ht="15.75" thickBot="1">
      <c r="A678" s="38">
        <v>45225</v>
      </c>
      <c r="B678" s="34">
        <v>434.35</v>
      </c>
      <c r="C678" s="34">
        <v>18801214</v>
      </c>
    </row>
    <row r="679" spans="1:3" ht="15.75" thickBot="1">
      <c r="A679" s="38">
        <v>45226</v>
      </c>
      <c r="B679" s="34">
        <v>433.75</v>
      </c>
      <c r="C679" s="34">
        <v>13132487</v>
      </c>
    </row>
    <row r="680" spans="1:3" ht="15.75" thickBot="1">
      <c r="A680" s="38">
        <v>45229</v>
      </c>
      <c r="B680" s="34">
        <v>430.45</v>
      </c>
      <c r="C680" s="34">
        <v>7618033</v>
      </c>
    </row>
    <row r="681" spans="1:3" ht="15.75" thickBot="1">
      <c r="A681" s="38">
        <v>45230</v>
      </c>
      <c r="B681" s="34">
        <v>428.4</v>
      </c>
      <c r="C681" s="34">
        <v>8620154</v>
      </c>
    </row>
    <row r="682" spans="1:3" ht="15.75" thickBot="1">
      <c r="A682" s="38">
        <v>45231</v>
      </c>
      <c r="B682" s="34">
        <v>428.1</v>
      </c>
      <c r="C682" s="34">
        <v>7990245</v>
      </c>
    </row>
    <row r="683" spans="1:3" ht="15.75" thickBot="1">
      <c r="A683" s="38">
        <v>45232</v>
      </c>
      <c r="B683" s="34">
        <v>431.15</v>
      </c>
      <c r="C683" s="34">
        <v>8152031</v>
      </c>
    </row>
    <row r="684" spans="1:3" ht="15.75" thickBot="1">
      <c r="A684" s="38">
        <v>45233</v>
      </c>
      <c r="B684" s="34">
        <v>433.25</v>
      </c>
      <c r="C684" s="34">
        <v>13802600</v>
      </c>
    </row>
    <row r="685" spans="1:3" ht="15.75" thickBot="1">
      <c r="A685" s="38">
        <v>45236</v>
      </c>
      <c r="B685" s="34">
        <v>435.35</v>
      </c>
      <c r="C685" s="34">
        <v>7308229</v>
      </c>
    </row>
    <row r="686" spans="1:3" ht="15.75" thickBot="1">
      <c r="A686" s="38">
        <v>45237</v>
      </c>
      <c r="B686" s="34">
        <v>432.7</v>
      </c>
      <c r="C686" s="34">
        <v>5124012</v>
      </c>
    </row>
    <row r="687" spans="1:3" ht="15.75" thickBot="1">
      <c r="A687" s="38">
        <v>45238</v>
      </c>
      <c r="B687" s="34">
        <v>436.95</v>
      </c>
      <c r="C687" s="34">
        <v>6979849</v>
      </c>
    </row>
    <row r="688" spans="1:3" ht="15.75" thickBot="1">
      <c r="A688" s="38">
        <v>45239</v>
      </c>
      <c r="B688" s="34">
        <v>434.4</v>
      </c>
      <c r="C688" s="34">
        <v>7785767</v>
      </c>
    </row>
    <row r="689" spans="1:3" ht="15.75" thickBot="1">
      <c r="A689" s="38">
        <v>45240</v>
      </c>
      <c r="B689" s="34">
        <v>436.55</v>
      </c>
      <c r="C689" s="34">
        <v>4079205</v>
      </c>
    </row>
    <row r="690" spans="1:3" ht="15.75" thickBot="1">
      <c r="A690" s="38">
        <v>45243</v>
      </c>
      <c r="B690" s="34">
        <v>436</v>
      </c>
      <c r="C690" s="34">
        <v>3744754</v>
      </c>
    </row>
    <row r="691" spans="1:3" ht="15.75" thickBot="1">
      <c r="A691" s="38">
        <v>45245</v>
      </c>
      <c r="B691" s="34">
        <v>441.95</v>
      </c>
      <c r="C691" s="34">
        <v>7436428</v>
      </c>
    </row>
    <row r="692" spans="1:3" ht="15.75" thickBot="1">
      <c r="A692" s="38">
        <v>45246</v>
      </c>
      <c r="B692" s="34">
        <v>438.65</v>
      </c>
      <c r="C692" s="34">
        <v>10857863</v>
      </c>
    </row>
    <row r="693" spans="1:3" ht="15.75" thickBot="1">
      <c r="A693" s="38">
        <v>45247</v>
      </c>
      <c r="B693" s="34">
        <v>439.25</v>
      </c>
      <c r="C693" s="34">
        <v>6655278</v>
      </c>
    </row>
    <row r="694" spans="1:3" ht="15.75" thickBot="1">
      <c r="A694" s="38">
        <v>45250</v>
      </c>
      <c r="B694" s="34">
        <v>436.8</v>
      </c>
      <c r="C694" s="34">
        <v>4335388</v>
      </c>
    </row>
    <row r="695" spans="1:3" ht="15.75" thickBot="1">
      <c r="A695" s="38">
        <v>45251</v>
      </c>
      <c r="B695" s="34">
        <v>436.25</v>
      </c>
      <c r="C695" s="34">
        <v>5997810</v>
      </c>
    </row>
    <row r="696" spans="1:3" ht="15.75" thickBot="1">
      <c r="A696" s="38">
        <v>45252</v>
      </c>
      <c r="B696" s="34">
        <v>439.7</v>
      </c>
      <c r="C696" s="34">
        <v>4886687</v>
      </c>
    </row>
    <row r="697" spans="1:3" ht="15.75" thickBot="1">
      <c r="A697" s="38">
        <v>45253</v>
      </c>
      <c r="B697" s="34">
        <v>440.35</v>
      </c>
      <c r="C697" s="34">
        <v>6366606</v>
      </c>
    </row>
    <row r="698" spans="1:3" ht="15.75" thickBot="1">
      <c r="A698" s="38">
        <v>45254</v>
      </c>
      <c r="B698" s="34">
        <v>437.8</v>
      </c>
      <c r="C698" s="34">
        <v>6821878</v>
      </c>
    </row>
    <row r="699" spans="1:3" ht="15.75" thickBot="1">
      <c r="A699" s="38">
        <v>45258</v>
      </c>
      <c r="B699" s="34">
        <v>435.25</v>
      </c>
      <c r="C699" s="34">
        <v>8745691</v>
      </c>
    </row>
    <row r="700" spans="1:3" ht="15.75" thickBot="1">
      <c r="A700" s="38">
        <v>45259</v>
      </c>
      <c r="B700" s="34">
        <v>437.2</v>
      </c>
      <c r="C700" s="34">
        <v>13785216</v>
      </c>
    </row>
    <row r="701" spans="1:3" ht="15.75" thickBot="1">
      <c r="A701" s="38">
        <v>45260</v>
      </c>
      <c r="B701" s="34">
        <v>435.8</v>
      </c>
      <c r="C701" s="34">
        <v>15127505</v>
      </c>
    </row>
    <row r="702" spans="1:3" ht="15.75" thickBot="1">
      <c r="A702" s="38">
        <v>45261</v>
      </c>
      <c r="B702" s="34">
        <v>449.8</v>
      </c>
      <c r="C702" s="34">
        <v>19336856</v>
      </c>
    </row>
    <row r="703" spans="1:3" ht="15.75" thickBot="1">
      <c r="A703" s="38">
        <v>45264</v>
      </c>
      <c r="B703" s="34">
        <v>454.05</v>
      </c>
      <c r="C703" s="34">
        <v>12800220</v>
      </c>
    </row>
    <row r="704" spans="1:3" ht="15.75" thickBot="1">
      <c r="A704" s="38">
        <v>45265</v>
      </c>
      <c r="B704" s="34">
        <v>451.75</v>
      </c>
      <c r="C704" s="34">
        <v>12136292</v>
      </c>
    </row>
    <row r="705" spans="1:3" ht="15.75" thickBot="1">
      <c r="A705" s="38">
        <v>45266</v>
      </c>
      <c r="B705" s="34">
        <v>463.25</v>
      </c>
      <c r="C705" s="34">
        <v>20417559</v>
      </c>
    </row>
    <row r="706" spans="1:3" ht="15.75" thickBot="1">
      <c r="A706" s="38">
        <v>45267</v>
      </c>
      <c r="B706" s="34">
        <v>458.1</v>
      </c>
      <c r="C706" s="34">
        <v>11310918</v>
      </c>
    </row>
    <row r="707" spans="1:3" ht="15.75" thickBot="1">
      <c r="A707" s="38">
        <v>45268</v>
      </c>
      <c r="B707" s="34">
        <v>449.15</v>
      </c>
      <c r="C707" s="34">
        <v>18667895</v>
      </c>
    </row>
    <row r="708" spans="1:3" ht="15.75" thickBot="1">
      <c r="A708" s="38">
        <v>45271</v>
      </c>
      <c r="B708" s="34">
        <v>452.45</v>
      </c>
      <c r="C708" s="34">
        <v>6599973</v>
      </c>
    </row>
    <row r="709" spans="1:3" ht="15.75" thickBot="1">
      <c r="A709" s="38">
        <v>45272</v>
      </c>
      <c r="B709" s="34">
        <v>453.1</v>
      </c>
      <c r="C709" s="34">
        <v>10158101</v>
      </c>
    </row>
    <row r="710" spans="1:3" ht="15.75" thickBot="1">
      <c r="A710" s="38">
        <v>45273</v>
      </c>
      <c r="B710" s="34">
        <v>455.65</v>
      </c>
      <c r="C710" s="34">
        <v>11283868</v>
      </c>
    </row>
    <row r="711" spans="1:3" ht="15.75" thickBot="1">
      <c r="A711" s="38">
        <v>45274</v>
      </c>
      <c r="B711" s="34">
        <v>460.1</v>
      </c>
      <c r="C711" s="34">
        <v>14370803</v>
      </c>
    </row>
    <row r="712" spans="1:3" ht="15.75" thickBot="1">
      <c r="A712" s="38">
        <v>45275</v>
      </c>
      <c r="B712" s="34">
        <v>458.2</v>
      </c>
      <c r="C712" s="34">
        <v>15789845</v>
      </c>
    </row>
    <row r="713" spans="1:3" ht="15.75" thickBot="1">
      <c r="A713" s="38">
        <v>45278</v>
      </c>
      <c r="B713" s="34">
        <v>451.65</v>
      </c>
      <c r="C713" s="34">
        <v>12027620</v>
      </c>
    </row>
    <row r="714" spans="1:3" ht="15.75" thickBot="1">
      <c r="A714" s="38">
        <v>45279</v>
      </c>
      <c r="B714" s="34">
        <v>456.1</v>
      </c>
      <c r="C714" s="34">
        <v>10268755</v>
      </c>
    </row>
    <row r="715" spans="1:3" ht="15.75" thickBot="1">
      <c r="A715" s="38">
        <v>45280</v>
      </c>
      <c r="B715" s="34">
        <v>451</v>
      </c>
      <c r="C715" s="34">
        <v>10367665</v>
      </c>
    </row>
    <row r="716" spans="1:3" ht="15.75" thickBot="1">
      <c r="A716" s="38">
        <v>45281</v>
      </c>
      <c r="B716" s="34">
        <v>451.45</v>
      </c>
      <c r="C716" s="34">
        <v>11154625</v>
      </c>
    </row>
    <row r="717" spans="1:3" ht="15.75" thickBot="1">
      <c r="A717" s="38">
        <v>45282</v>
      </c>
      <c r="B717" s="34">
        <v>455.2</v>
      </c>
      <c r="C717" s="34">
        <v>11026317</v>
      </c>
    </row>
    <row r="718" spans="1:3" ht="15.75" thickBot="1">
      <c r="A718" s="38">
        <v>45286</v>
      </c>
      <c r="B718" s="34">
        <v>456.45</v>
      </c>
      <c r="C718" s="34">
        <v>5871301</v>
      </c>
    </row>
    <row r="719" spans="1:3" ht="15.75" thickBot="1">
      <c r="A719" s="38">
        <v>45287</v>
      </c>
      <c r="B719" s="34">
        <v>457.1</v>
      </c>
      <c r="C719" s="34">
        <v>7543383</v>
      </c>
    </row>
    <row r="720" spans="1:3" ht="15.75" thickBot="1">
      <c r="A720" s="38">
        <v>45288</v>
      </c>
      <c r="B720" s="34">
        <v>464.1</v>
      </c>
      <c r="C720" s="34">
        <v>20696101</v>
      </c>
    </row>
    <row r="721" spans="1:3" ht="15.75" thickBot="1">
      <c r="A721" s="38">
        <v>45289</v>
      </c>
      <c r="B721" s="34">
        <v>462.1</v>
      </c>
      <c r="C721" s="34">
        <v>12888266</v>
      </c>
    </row>
    <row r="722" spans="1:3" ht="15.75" thickBot="1">
      <c r="A722" s="38">
        <v>45292</v>
      </c>
      <c r="B722" s="34">
        <v>468.05</v>
      </c>
      <c r="C722" s="34">
        <v>9346277</v>
      </c>
    </row>
    <row r="723" spans="1:3" ht="15.75" thickBot="1">
      <c r="A723" s="38">
        <v>45293</v>
      </c>
      <c r="B723" s="34">
        <v>470.35</v>
      </c>
      <c r="C723" s="34">
        <v>10519771</v>
      </c>
    </row>
    <row r="724" spans="1:3" ht="15.75" thickBot="1">
      <c r="A724" s="38">
        <v>45294</v>
      </c>
      <c r="B724" s="34">
        <v>477.25</v>
      </c>
      <c r="C724" s="34">
        <v>24036012</v>
      </c>
    </row>
    <row r="725" spans="1:3" ht="15.75" thickBot="1">
      <c r="A725" s="38">
        <v>45295</v>
      </c>
      <c r="B725" s="34">
        <v>476.4</v>
      </c>
      <c r="C725" s="34">
        <v>11786959</v>
      </c>
    </row>
    <row r="726" spans="1:3" ht="15.75" thickBot="1">
      <c r="A726" s="38">
        <v>45296</v>
      </c>
      <c r="B726" s="34">
        <v>473.95</v>
      </c>
      <c r="C726" s="34">
        <v>9209405</v>
      </c>
    </row>
    <row r="727" spans="1:3" ht="15.75" thickBot="1">
      <c r="A727" s="38">
        <v>45299</v>
      </c>
      <c r="B727" s="34">
        <v>465.5</v>
      </c>
      <c r="C727" s="34">
        <v>8003177</v>
      </c>
    </row>
    <row r="728" spans="1:3" ht="15.75" thickBot="1">
      <c r="A728" s="38">
        <v>45300</v>
      </c>
      <c r="B728" s="34">
        <v>464.55</v>
      </c>
      <c r="C728" s="34">
        <v>5696780</v>
      </c>
    </row>
    <row r="729" spans="1:3" ht="15.75" thickBot="1">
      <c r="A729" s="38">
        <v>45301</v>
      </c>
      <c r="B729" s="34">
        <v>463.3</v>
      </c>
      <c r="C729" s="34">
        <v>5896123</v>
      </c>
    </row>
    <row r="730" spans="1:3" ht="15.75" thickBot="1">
      <c r="A730" s="38">
        <v>45302</v>
      </c>
      <c r="B730" s="34">
        <v>462.65</v>
      </c>
      <c r="C730" s="34">
        <v>6534775</v>
      </c>
    </row>
    <row r="731" spans="1:3" ht="15.75" thickBot="1">
      <c r="A731" s="38">
        <v>45303</v>
      </c>
      <c r="B731" s="34">
        <v>466.7</v>
      </c>
      <c r="C731" s="34">
        <v>9354326</v>
      </c>
    </row>
    <row r="732" spans="1:3" ht="15.75" thickBot="1">
      <c r="A732" s="38">
        <v>45306</v>
      </c>
      <c r="B732" s="34">
        <v>467.6</v>
      </c>
      <c r="C732" s="34">
        <v>6902156</v>
      </c>
    </row>
    <row r="733" spans="1:3" ht="15.75" thickBot="1">
      <c r="A733" s="38">
        <v>45307</v>
      </c>
      <c r="B733" s="34">
        <v>472.3</v>
      </c>
      <c r="C733" s="34">
        <v>12066347</v>
      </c>
    </row>
    <row r="734" spans="1:3" ht="15.75" thickBot="1">
      <c r="A734" s="38">
        <v>45308</v>
      </c>
      <c r="B734" s="34">
        <v>466.6</v>
      </c>
      <c r="C734" s="34">
        <v>11108698</v>
      </c>
    </row>
    <row r="735" spans="1:3" ht="15.75" thickBot="1">
      <c r="A735" s="38">
        <v>45309</v>
      </c>
      <c r="B735" s="34">
        <v>465.5</v>
      </c>
      <c r="C735" s="34">
        <v>9143784</v>
      </c>
    </row>
    <row r="736" spans="1:3" ht="15.75" thickBot="1">
      <c r="A736" s="38">
        <v>45310</v>
      </c>
      <c r="B736" s="34">
        <v>471.5</v>
      </c>
      <c r="C736" s="34">
        <v>12203322</v>
      </c>
    </row>
    <row r="737" spans="1:3" ht="15.75" thickBot="1">
      <c r="A737" s="38">
        <v>45314</v>
      </c>
      <c r="B737" s="34">
        <v>459.3</v>
      </c>
      <c r="C737" s="34">
        <v>8404513</v>
      </c>
    </row>
    <row r="738" spans="1:3" ht="15.75" thickBot="1">
      <c r="A738" s="38">
        <v>45315</v>
      </c>
      <c r="B738" s="34">
        <v>463.6</v>
      </c>
      <c r="C738" s="34">
        <v>21626183</v>
      </c>
    </row>
    <row r="739" spans="1:3" ht="15.75" thickBot="1">
      <c r="A739" s="38">
        <v>45316</v>
      </c>
      <c r="B739" s="34">
        <v>455.65</v>
      </c>
      <c r="C739" s="34">
        <v>19677700</v>
      </c>
    </row>
    <row r="740" spans="1:3" ht="15.75" thickBot="1">
      <c r="A740" s="38">
        <v>45320</v>
      </c>
      <c r="B740" s="34">
        <v>449.8</v>
      </c>
      <c r="C740" s="34">
        <v>17869152</v>
      </c>
    </row>
    <row r="741" spans="1:3" ht="15.75" thickBot="1">
      <c r="A741" s="38">
        <v>45321</v>
      </c>
      <c r="B741" s="34">
        <v>438.05</v>
      </c>
      <c r="C741" s="34">
        <v>43514448</v>
      </c>
    </row>
    <row r="742" spans="1:3" ht="15.75" thickBot="1">
      <c r="A742" s="38">
        <v>45322</v>
      </c>
      <c r="B742" s="34">
        <v>441.55</v>
      </c>
      <c r="C742" s="34">
        <v>19882944</v>
      </c>
    </row>
    <row r="743" spans="1:3" ht="15.75" thickBot="1">
      <c r="A743" s="38">
        <v>45323</v>
      </c>
      <c r="B743" s="34">
        <v>442.9</v>
      </c>
      <c r="C743" s="34">
        <v>19165409</v>
      </c>
    </row>
    <row r="744" spans="1:3" ht="15.75" thickBot="1">
      <c r="A744" s="38">
        <v>45324</v>
      </c>
      <c r="B744" s="34">
        <v>440.1</v>
      </c>
      <c r="C744" s="34">
        <v>17156021</v>
      </c>
    </row>
    <row r="745" spans="1:3" ht="15.75" thickBot="1">
      <c r="A745" s="38">
        <v>45327</v>
      </c>
      <c r="B745" s="34">
        <v>438.05</v>
      </c>
      <c r="C745" s="34">
        <v>12041897</v>
      </c>
    </row>
    <row r="746" spans="1:3" ht="15.75" thickBot="1">
      <c r="A746" s="38">
        <v>45328</v>
      </c>
      <c r="B746" s="34">
        <v>431.4</v>
      </c>
      <c r="C746" s="34">
        <v>18764371</v>
      </c>
    </row>
    <row r="747" spans="1:3" ht="15.75" thickBot="1">
      <c r="A747" s="38">
        <v>45329</v>
      </c>
      <c r="B747" s="34">
        <v>431.8</v>
      </c>
      <c r="C747" s="34">
        <v>12880824</v>
      </c>
    </row>
    <row r="748" spans="1:3" ht="15.75" thickBot="1">
      <c r="A748" s="38">
        <v>45330</v>
      </c>
      <c r="B748" s="34">
        <v>414.55</v>
      </c>
      <c r="C748" s="34">
        <v>48183882</v>
      </c>
    </row>
    <row r="749" spans="1:3" ht="15.75" thickBot="1">
      <c r="A749" s="38">
        <v>45331</v>
      </c>
      <c r="B749" s="34">
        <v>415.5</v>
      </c>
      <c r="C749" s="34">
        <v>32283965</v>
      </c>
    </row>
    <row r="750" spans="1:3" ht="15.75" thickBot="1">
      <c r="A750" s="38">
        <v>45334</v>
      </c>
      <c r="B750" s="34">
        <v>406.85</v>
      </c>
      <c r="C750" s="34">
        <v>10906914</v>
      </c>
    </row>
    <row r="751" spans="1:3" ht="15.75" thickBot="1">
      <c r="A751" s="38">
        <v>45335</v>
      </c>
      <c r="B751" s="34">
        <v>406.75</v>
      </c>
      <c r="C751" s="34">
        <v>15606705</v>
      </c>
    </row>
    <row r="752" spans="1:3" ht="15.75" thickBot="1">
      <c r="A752" s="38">
        <v>45336</v>
      </c>
      <c r="B752" s="34">
        <v>411.55</v>
      </c>
      <c r="C752" s="34">
        <v>12150077</v>
      </c>
    </row>
    <row r="753" spans="1:3" ht="15.75" thickBot="1">
      <c r="A753" s="38">
        <v>45337</v>
      </c>
      <c r="B753" s="34">
        <v>403.9</v>
      </c>
      <c r="C753" s="34">
        <v>20383983</v>
      </c>
    </row>
    <row r="754" spans="1:3" ht="15.75" thickBot="1">
      <c r="A754" s="38">
        <v>45338</v>
      </c>
      <c r="B754" s="34">
        <v>404.6</v>
      </c>
      <c r="C754" s="34">
        <v>37518847</v>
      </c>
    </row>
    <row r="755" spans="1:3" ht="15.75" thickBot="1">
      <c r="A755" s="38">
        <v>45341</v>
      </c>
      <c r="B755" s="34">
        <v>409.25</v>
      </c>
      <c r="C755" s="34">
        <v>16949793</v>
      </c>
    </row>
    <row r="756" spans="1:3" ht="15.75" thickBot="1">
      <c r="A756" s="38">
        <v>45342</v>
      </c>
      <c r="B756" s="34">
        <v>406.1</v>
      </c>
      <c r="C756" s="34">
        <v>14084218</v>
      </c>
    </row>
    <row r="757" spans="1:3" ht="15.75" thickBot="1">
      <c r="A757" s="38">
        <v>45343</v>
      </c>
      <c r="B757" s="34">
        <v>403.35</v>
      </c>
      <c r="C757" s="34">
        <v>19414653</v>
      </c>
    </row>
    <row r="758" spans="1:3" ht="15.75" thickBot="1">
      <c r="A758" s="38">
        <v>45344</v>
      </c>
      <c r="B758" s="34">
        <v>414.45</v>
      </c>
      <c r="C758" s="34">
        <v>18604659</v>
      </c>
    </row>
    <row r="759" spans="1:3" ht="15.75" thickBot="1">
      <c r="A759" s="38">
        <v>45345</v>
      </c>
      <c r="B759" s="34">
        <v>411.4</v>
      </c>
      <c r="C759" s="34">
        <v>11147636</v>
      </c>
    </row>
    <row r="760" spans="1:3" ht="15.75" thickBot="1">
      <c r="A760" s="38">
        <v>45348</v>
      </c>
      <c r="B760" s="34">
        <v>409.2</v>
      </c>
      <c r="C760" s="34">
        <v>7982145</v>
      </c>
    </row>
    <row r="761" spans="1:3" ht="15.75" thickBot="1">
      <c r="A761" s="38">
        <v>45349</v>
      </c>
      <c r="B761" s="34">
        <v>411.15</v>
      </c>
      <c r="C761" s="34">
        <v>7783743</v>
      </c>
    </row>
    <row r="762" spans="1:3" ht="15.75" thickBot="1">
      <c r="A762" s="38">
        <v>45350</v>
      </c>
      <c r="B762" s="34">
        <v>408.3</v>
      </c>
      <c r="C762" s="34">
        <v>8617768</v>
      </c>
    </row>
    <row r="763" spans="1:3" ht="15.75" thickBot="1">
      <c r="A763" s="38">
        <v>45351</v>
      </c>
      <c r="B763" s="34">
        <v>406.3</v>
      </c>
      <c r="C763" s="34">
        <v>14895144</v>
      </c>
    </row>
    <row r="764" spans="1:3" ht="15.75" thickBot="1">
      <c r="A764" s="38">
        <v>45352</v>
      </c>
      <c r="B764" s="34">
        <v>409.5</v>
      </c>
      <c r="C764" s="34">
        <v>12395632</v>
      </c>
    </row>
    <row r="765" spans="1:3" ht="15.75" thickBot="1">
      <c r="A765" s="38">
        <v>45355</v>
      </c>
      <c r="B765" s="34">
        <v>409.1</v>
      </c>
      <c r="C765" s="34">
        <v>6840352</v>
      </c>
    </row>
    <row r="766" spans="1:3" ht="15.75" thickBot="1">
      <c r="A766" s="38">
        <v>45356</v>
      </c>
      <c r="B766" s="34">
        <v>406.15</v>
      </c>
      <c r="C766" s="34">
        <v>9733507</v>
      </c>
    </row>
    <row r="767" spans="1:3" ht="15.75" thickBot="1">
      <c r="A767" s="38">
        <v>45357</v>
      </c>
      <c r="B767" s="34">
        <v>407.85</v>
      </c>
      <c r="C767" s="34">
        <v>11106855</v>
      </c>
    </row>
    <row r="768" spans="1:3" ht="15.75" thickBot="1">
      <c r="A768" s="38">
        <v>45358</v>
      </c>
      <c r="B768" s="34">
        <v>413.55</v>
      </c>
      <c r="C768" s="34">
        <v>23020545</v>
      </c>
    </row>
    <row r="769" spans="1:3" ht="15.75" thickBot="1">
      <c r="A769" s="38">
        <v>45362</v>
      </c>
      <c r="B769" s="34">
        <v>409.4</v>
      </c>
      <c r="C769" s="34">
        <v>17620081</v>
      </c>
    </row>
    <row r="770" spans="1:3" ht="15.75" thickBot="1">
      <c r="A770" s="38">
        <v>45363</v>
      </c>
      <c r="B770" s="34">
        <v>404.45</v>
      </c>
      <c r="C770" s="34">
        <v>34882639</v>
      </c>
    </row>
    <row r="771" spans="1:3" ht="15.75" thickBot="1">
      <c r="A771" s="38">
        <v>45364</v>
      </c>
      <c r="B771" s="34">
        <v>422.45</v>
      </c>
      <c r="C771" s="34">
        <v>101612428</v>
      </c>
    </row>
    <row r="772" spans="1:3" ht="15.75" thickBot="1">
      <c r="A772" s="38">
        <v>45365</v>
      </c>
      <c r="B772" s="34">
        <v>419.65</v>
      </c>
      <c r="C772" s="34">
        <v>30764728</v>
      </c>
    </row>
    <row r="773" spans="1:3" ht="15.75" thickBot="1">
      <c r="A773" s="38">
        <v>45366</v>
      </c>
      <c r="B773" s="34">
        <v>419.1</v>
      </c>
      <c r="C773" s="34">
        <v>73253754</v>
      </c>
    </row>
    <row r="774" spans="1:3" ht="15.75" thickBot="1">
      <c r="A774" s="38">
        <v>45369</v>
      </c>
      <c r="B774" s="34">
        <v>417.45</v>
      </c>
      <c r="C774" s="34">
        <v>15933704</v>
      </c>
    </row>
    <row r="775" spans="1:3" ht="15.75" thickBot="1">
      <c r="A775" s="38">
        <v>45370</v>
      </c>
      <c r="B775" s="34">
        <v>409.55</v>
      </c>
      <c r="C775" s="34">
        <v>20994563</v>
      </c>
    </row>
    <row r="776" spans="1:3" ht="15.75" thickBot="1">
      <c r="A776" s="38">
        <v>45371</v>
      </c>
      <c r="B776" s="34">
        <v>415.7</v>
      </c>
      <c r="C776" s="34">
        <v>19609321</v>
      </c>
    </row>
    <row r="777" spans="1:3" ht="15.75" thickBot="1">
      <c r="A777" s="38">
        <v>45372</v>
      </c>
      <c r="B777" s="34">
        <v>421.25</v>
      </c>
      <c r="C777" s="34">
        <v>19227982</v>
      </c>
    </row>
    <row r="778" spans="1:3" ht="15.75" thickBot="1">
      <c r="A778" s="38">
        <v>45373</v>
      </c>
      <c r="B778" s="34">
        <v>428.6</v>
      </c>
      <c r="C778" s="34">
        <v>38861818</v>
      </c>
    </row>
    <row r="779" spans="1:3" ht="15.75" thickBot="1">
      <c r="A779" s="38">
        <v>45377</v>
      </c>
      <c r="B779" s="34">
        <v>427.65</v>
      </c>
      <c r="C779" s="34">
        <v>10274145</v>
      </c>
    </row>
    <row r="780" spans="1:3" ht="15.75" thickBot="1">
      <c r="A780" s="38">
        <v>45378</v>
      </c>
      <c r="B780" s="34">
        <v>428</v>
      </c>
      <c r="C780" s="34">
        <v>12227545</v>
      </c>
    </row>
    <row r="781" spans="1:3" ht="15.75" thickBot="1">
      <c r="A781" s="38">
        <v>45379</v>
      </c>
      <c r="B781" s="34">
        <v>428.35</v>
      </c>
      <c r="C781" s="34">
        <v>27933211</v>
      </c>
    </row>
    <row r="782" spans="1:3" ht="15.75" thickBot="1">
      <c r="A782" s="38">
        <v>45383</v>
      </c>
      <c r="B782" s="34">
        <v>426.7</v>
      </c>
      <c r="C782" s="34">
        <v>9382308</v>
      </c>
    </row>
    <row r="783" spans="1:3" ht="15.75" thickBot="1">
      <c r="A783" s="38">
        <v>45384</v>
      </c>
      <c r="B783" s="34">
        <v>425.85</v>
      </c>
      <c r="C783" s="34">
        <v>8853678</v>
      </c>
    </row>
    <row r="784" spans="1:3" ht="15.75" thickBot="1">
      <c r="A784" s="38">
        <v>45385</v>
      </c>
      <c r="B784" s="34">
        <v>425.2</v>
      </c>
      <c r="C784" s="34">
        <v>12664520</v>
      </c>
    </row>
    <row r="785" spans="1:3" ht="15.75" thickBot="1">
      <c r="A785" s="38">
        <v>45386</v>
      </c>
      <c r="B785" s="34">
        <v>422.75</v>
      </c>
      <c r="C785" s="34">
        <v>18358410</v>
      </c>
    </row>
    <row r="786" spans="1:3" ht="15.75" thickBot="1">
      <c r="A786" s="38">
        <v>45387</v>
      </c>
      <c r="B786" s="34">
        <v>427.55</v>
      </c>
      <c r="C786" s="34">
        <v>16147032</v>
      </c>
    </row>
    <row r="787" spans="1:3" ht="15.75" thickBot="1">
      <c r="A787" s="38">
        <v>45390</v>
      </c>
      <c r="B787" s="34">
        <v>429.1</v>
      </c>
      <c r="C787" s="34">
        <v>8516632</v>
      </c>
    </row>
    <row r="788" spans="1:3" ht="15.75" thickBot="1">
      <c r="A788" s="38">
        <v>45391</v>
      </c>
      <c r="B788" s="34">
        <v>426.35</v>
      </c>
      <c r="C788" s="34">
        <v>6708894</v>
      </c>
    </row>
    <row r="789" spans="1:3" ht="15.75" thickBot="1">
      <c r="A789" s="38">
        <v>45392</v>
      </c>
      <c r="B789" s="34">
        <v>436.95</v>
      </c>
      <c r="C789" s="34">
        <v>14008124</v>
      </c>
    </row>
    <row r="790" spans="1:3" ht="15.75" thickBot="1">
      <c r="A790" s="38">
        <v>45394</v>
      </c>
      <c r="B790" s="34">
        <v>430.1</v>
      </c>
      <c r="C790" s="34">
        <v>18088372</v>
      </c>
    </row>
    <row r="791" spans="1:3" ht="15.75" thickBot="1">
      <c r="A791" s="38">
        <v>45397</v>
      </c>
      <c r="B791" s="34">
        <v>425.9</v>
      </c>
      <c r="C791" s="34">
        <v>8746243</v>
      </c>
    </row>
    <row r="792" spans="1:3" ht="15.75" thickBot="1">
      <c r="A792" s="38">
        <v>45398</v>
      </c>
      <c r="B792" s="34">
        <v>425.9</v>
      </c>
      <c r="C792" s="34">
        <v>9973638</v>
      </c>
    </row>
    <row r="793" spans="1:3" ht="15.75" thickBot="1">
      <c r="A793" s="38">
        <v>45400</v>
      </c>
      <c r="B793" s="34">
        <v>418.85</v>
      </c>
      <c r="C793" s="34">
        <v>21312388</v>
      </c>
    </row>
    <row r="794" spans="1:3" ht="15.75" thickBot="1">
      <c r="A794" s="38">
        <v>45401</v>
      </c>
      <c r="B794" s="34">
        <v>424.75</v>
      </c>
      <c r="C794" s="34">
        <v>16582634</v>
      </c>
    </row>
    <row r="795" spans="1:3" ht="15.75" thickBot="1">
      <c r="A795" s="38">
        <v>45404</v>
      </c>
      <c r="B795" s="34">
        <v>425.3</v>
      </c>
      <c r="C795" s="34">
        <v>7112139</v>
      </c>
    </row>
    <row r="796" spans="1:3" ht="15.75" thickBot="1">
      <c r="A796" s="38">
        <v>45405</v>
      </c>
      <c r="B796" s="34">
        <v>429.2</v>
      </c>
      <c r="C796" s="34">
        <v>12021404</v>
      </c>
    </row>
    <row r="797" spans="1:3" ht="15.75" thickBot="1">
      <c r="A797" s="38">
        <v>45406</v>
      </c>
      <c r="B797" s="34">
        <v>428.9</v>
      </c>
      <c r="C797" s="34">
        <v>5845170</v>
      </c>
    </row>
    <row r="798" spans="1:3" ht="15.75" thickBot="1">
      <c r="A798" s="38">
        <v>45407</v>
      </c>
      <c r="B798" s="34">
        <v>437.55</v>
      </c>
      <c r="C798" s="34">
        <v>29211997</v>
      </c>
    </row>
    <row r="799" spans="1:3" ht="15.75" thickBot="1">
      <c r="A799" s="38">
        <v>45408</v>
      </c>
      <c r="B799" s="34">
        <v>440</v>
      </c>
      <c r="C799" s="34">
        <v>14773975</v>
      </c>
    </row>
    <row r="800" spans="1:3" ht="15.75" thickBot="1">
      <c r="A800" s="38">
        <v>45411</v>
      </c>
      <c r="B800" s="34">
        <v>438.2</v>
      </c>
      <c r="C800" s="34">
        <v>11627882</v>
      </c>
    </row>
    <row r="801" spans="1:3" ht="15.75" thickBot="1">
      <c r="A801" s="38">
        <v>45412</v>
      </c>
      <c r="B801" s="34">
        <v>435.65</v>
      </c>
      <c r="C801" s="34">
        <v>12064043</v>
      </c>
    </row>
    <row r="802" spans="1:3" ht="15.75" thickBot="1">
      <c r="A802" s="38">
        <v>45414</v>
      </c>
      <c r="B802" s="34">
        <v>439</v>
      </c>
      <c r="C802" s="34">
        <v>23228909</v>
      </c>
    </row>
    <row r="803" spans="1:3" ht="15.75" thickBot="1">
      <c r="A803" s="38">
        <v>45415</v>
      </c>
      <c r="B803" s="34">
        <v>436.45</v>
      </c>
      <c r="C803" s="34">
        <v>22904276</v>
      </c>
    </row>
    <row r="804" spans="1:3" ht="15.75" thickBot="1">
      <c r="A804" s="38">
        <v>45418</v>
      </c>
      <c r="B804" s="34">
        <v>434.75</v>
      </c>
      <c r="C804" s="34">
        <v>10355056</v>
      </c>
    </row>
    <row r="805" spans="1:3" ht="15.75" thickBot="1">
      <c r="A805" s="38">
        <v>45419</v>
      </c>
      <c r="B805" s="34">
        <v>440.35</v>
      </c>
      <c r="C805" s="34">
        <v>25968921</v>
      </c>
    </row>
    <row r="806" spans="1:3" ht="15.75" thickBot="1">
      <c r="A806" s="38">
        <v>45420</v>
      </c>
      <c r="B806" s="34">
        <v>441</v>
      </c>
      <c r="C806" s="34">
        <v>10511646</v>
      </c>
    </row>
    <row r="807" spans="1:3" ht="15.75" thickBot="1">
      <c r="A807" s="38">
        <v>45421</v>
      </c>
      <c r="B807" s="34">
        <v>425.1</v>
      </c>
      <c r="C807" s="34">
        <v>23412609</v>
      </c>
    </row>
    <row r="808" spans="1:3" ht="15.75" thickBot="1">
      <c r="A808" s="38">
        <v>45422</v>
      </c>
      <c r="B808" s="34">
        <v>433.35</v>
      </c>
      <c r="C808" s="34">
        <v>13985963</v>
      </c>
    </row>
    <row r="809" spans="1:3" ht="15.75" thickBot="1">
      <c r="A809" s="38">
        <v>45425</v>
      </c>
      <c r="B809" s="34">
        <v>431.85</v>
      </c>
      <c r="C809" s="34">
        <v>7302959</v>
      </c>
    </row>
    <row r="810" spans="1:3" ht="15.75" thickBot="1">
      <c r="A810" s="38">
        <v>45426</v>
      </c>
      <c r="B810" s="34">
        <v>429.7</v>
      </c>
      <c r="C810" s="34">
        <v>11000103</v>
      </c>
    </row>
    <row r="811" spans="1:3" ht="15.75" thickBot="1">
      <c r="A811" s="38">
        <v>45427</v>
      </c>
      <c r="B811" s="34">
        <v>427.8</v>
      </c>
      <c r="C811" s="34">
        <v>7565080</v>
      </c>
    </row>
    <row r="812" spans="1:3" ht="15.75" thickBot="1">
      <c r="A812" s="38">
        <v>45428</v>
      </c>
      <c r="B812" s="34">
        <v>431.45</v>
      </c>
      <c r="C812" s="34">
        <v>23025186</v>
      </c>
    </row>
    <row r="813" spans="1:3" ht="15.75" thickBot="1">
      <c r="A813" s="38">
        <v>45429</v>
      </c>
      <c r="B813" s="34">
        <v>436.3</v>
      </c>
      <c r="C813" s="34">
        <v>11453714</v>
      </c>
    </row>
    <row r="814" spans="1:3" ht="15.75" thickBot="1">
      <c r="A814" s="38">
        <v>45433</v>
      </c>
      <c r="B814" s="34">
        <v>434.8</v>
      </c>
      <c r="C814" s="34">
        <v>10760726</v>
      </c>
    </row>
    <row r="815" spans="1:3" ht="15.75" thickBot="1">
      <c r="A815" s="38">
        <v>45434</v>
      </c>
      <c r="B815" s="34">
        <v>439.9</v>
      </c>
      <c r="C815" s="34">
        <v>10627595</v>
      </c>
    </row>
    <row r="816" spans="1:3" ht="15.75" thickBot="1">
      <c r="A816" s="38">
        <v>45435</v>
      </c>
      <c r="B816" s="34">
        <v>441.35</v>
      </c>
      <c r="C816" s="34">
        <v>26234369</v>
      </c>
    </row>
    <row r="817" spans="1:3" ht="15.75" thickBot="1">
      <c r="A817" s="38">
        <v>45436</v>
      </c>
      <c r="B817" s="34">
        <v>436.2</v>
      </c>
      <c r="C817" s="34">
        <v>12761457</v>
      </c>
    </row>
    <row r="818" spans="1:3" ht="15.75" thickBot="1">
      <c r="A818" s="38">
        <v>45439</v>
      </c>
      <c r="B818" s="34">
        <v>431.5</v>
      </c>
      <c r="C818" s="34">
        <v>11827050</v>
      </c>
    </row>
    <row r="819" spans="1:3" ht="15.75" thickBot="1">
      <c r="A819" s="38">
        <v>45440</v>
      </c>
      <c r="B819" s="34">
        <v>429</v>
      </c>
      <c r="C819" s="34">
        <v>9310198</v>
      </c>
    </row>
    <row r="820" spans="1:3" ht="15.75" thickBot="1">
      <c r="A820" s="38">
        <v>45441</v>
      </c>
      <c r="B820" s="34">
        <v>430.95</v>
      </c>
      <c r="C820" s="34">
        <v>10430363</v>
      </c>
    </row>
    <row r="821" spans="1:3" ht="15.75" thickBot="1">
      <c r="A821" s="38">
        <v>45442</v>
      </c>
      <c r="B821" s="34">
        <v>423.85</v>
      </c>
      <c r="C821" s="34">
        <v>20524428</v>
      </c>
    </row>
    <row r="822" spans="1:3" ht="15.75" thickBot="1">
      <c r="A822" s="38">
        <v>45443</v>
      </c>
      <c r="B822" s="34">
        <v>426.45</v>
      </c>
      <c r="C822" s="34">
        <v>28214102</v>
      </c>
    </row>
    <row r="823" spans="1:3" ht="15.75" thickBot="1">
      <c r="A823" s="38">
        <v>45446</v>
      </c>
      <c r="B823" s="34">
        <v>430.35</v>
      </c>
      <c r="C823" s="34">
        <v>15519148</v>
      </c>
    </row>
    <row r="824" spans="1:3" ht="15.75" thickBot="1">
      <c r="A824" s="38">
        <v>45447</v>
      </c>
      <c r="B824" s="34">
        <v>415.2</v>
      </c>
      <c r="C824" s="34">
        <v>46019632</v>
      </c>
    </row>
    <row r="825" spans="1:3" ht="15.75" thickBot="1">
      <c r="A825" s="38">
        <v>45448</v>
      </c>
      <c r="B825" s="34">
        <v>430.3</v>
      </c>
      <c r="C825" s="34">
        <v>27151351</v>
      </c>
    </row>
    <row r="826" spans="1:3" ht="15.75" thickBot="1">
      <c r="A826" s="38">
        <v>45449</v>
      </c>
      <c r="B826" s="34">
        <v>435.4</v>
      </c>
      <c r="C826" s="34">
        <v>31119999</v>
      </c>
    </row>
    <row r="827" spans="1:3" ht="15.75" thickBot="1">
      <c r="A827" s="38">
        <v>45450</v>
      </c>
      <c r="B827" s="34">
        <v>439.15</v>
      </c>
      <c r="C827" s="34">
        <v>28448041</v>
      </c>
    </row>
    <row r="828" spans="1:3" ht="15.75" thickBot="1">
      <c r="A828" s="38">
        <v>45453</v>
      </c>
      <c r="B828" s="34">
        <v>436.9</v>
      </c>
      <c r="C828" s="34">
        <v>11432393</v>
      </c>
    </row>
    <row r="829" spans="1:3" ht="15.75" thickBot="1">
      <c r="A829" s="38">
        <v>45454</v>
      </c>
      <c r="B829" s="34">
        <v>433</v>
      </c>
      <c r="C829" s="34">
        <v>12670589</v>
      </c>
    </row>
    <row r="830" spans="1:3" ht="15.75" thickBot="1">
      <c r="A830" s="38">
        <v>45455</v>
      </c>
      <c r="B830" s="34">
        <v>432.3</v>
      </c>
      <c r="C830" s="34">
        <v>10352936</v>
      </c>
    </row>
    <row r="831" spans="1:3" ht="15.75" thickBot="1">
      <c r="A831" s="38">
        <v>45456</v>
      </c>
      <c r="B831" s="34">
        <v>430.3</v>
      </c>
      <c r="C831" s="34">
        <v>9283802</v>
      </c>
    </row>
    <row r="832" spans="1:3" ht="15.75" thickBot="1">
      <c r="A832" s="38">
        <v>45457</v>
      </c>
      <c r="B832" s="34">
        <v>431.15</v>
      </c>
      <c r="C832" s="34">
        <v>9217804</v>
      </c>
    </row>
    <row r="833" spans="1:3" ht="15.75" thickBot="1">
      <c r="A833" s="38">
        <v>45461</v>
      </c>
      <c r="B833" s="34">
        <v>428.75</v>
      </c>
      <c r="C833" s="34">
        <v>14098178</v>
      </c>
    </row>
    <row r="834" spans="1:3" ht="15.75" thickBot="1">
      <c r="A834" s="38">
        <v>45462</v>
      </c>
      <c r="B834" s="34">
        <v>423.65</v>
      </c>
      <c r="C834" s="34">
        <v>10909803</v>
      </c>
    </row>
    <row r="835" spans="1:3" ht="15.75" thickBot="1">
      <c r="A835" s="38">
        <v>45463</v>
      </c>
      <c r="B835" s="34">
        <v>423.3</v>
      </c>
      <c r="C835" s="34">
        <v>14585806</v>
      </c>
    </row>
    <row r="836" spans="1:3" ht="15.75" thickBot="1">
      <c r="A836" s="38">
        <v>45464</v>
      </c>
      <c r="B836" s="34">
        <v>419.6</v>
      </c>
      <c r="C836" s="34">
        <v>25205627</v>
      </c>
    </row>
    <row r="837" spans="1:3" ht="15.75" thickBot="1">
      <c r="A837" s="38">
        <v>45467</v>
      </c>
      <c r="B837" s="34">
        <v>423.3</v>
      </c>
      <c r="C837" s="34">
        <v>9362433</v>
      </c>
    </row>
    <row r="838" spans="1:3" ht="15.75" thickBot="1">
      <c r="A838" s="38">
        <v>45468</v>
      </c>
      <c r="B838" s="34">
        <v>423.3</v>
      </c>
      <c r="C838" s="34">
        <v>10260449</v>
      </c>
    </row>
    <row r="839" spans="1:3" ht="15.75" thickBot="1">
      <c r="A839" s="38">
        <v>45469</v>
      </c>
      <c r="B839" s="34">
        <v>423.95</v>
      </c>
      <c r="C839" s="34">
        <v>11084805</v>
      </c>
    </row>
    <row r="840" spans="1:3" ht="15.75" thickBot="1">
      <c r="A840" s="38">
        <v>45470</v>
      </c>
      <c r="B840" s="34">
        <v>425.6</v>
      </c>
      <c r="C840" s="34">
        <v>37012589</v>
      </c>
    </row>
    <row r="841" spans="1:3" ht="15.75" thickBot="1">
      <c r="A841" s="38">
        <v>45471</v>
      </c>
      <c r="B841" s="34">
        <v>424.9</v>
      </c>
      <c r="C841" s="34">
        <v>17866326</v>
      </c>
    </row>
    <row r="842" spans="1:3" ht="15.75" thickBot="1">
      <c r="A842" s="38">
        <v>45474</v>
      </c>
      <c r="B842" s="34">
        <v>429.05</v>
      </c>
      <c r="C842" s="34">
        <v>12894747</v>
      </c>
    </row>
    <row r="843" spans="1:3" ht="15.75" thickBot="1">
      <c r="A843" s="38">
        <v>45475</v>
      </c>
      <c r="B843" s="34">
        <v>425.5</v>
      </c>
      <c r="C843" s="34">
        <v>10763335</v>
      </c>
    </row>
    <row r="844" spans="1:3" ht="15.75" thickBot="1">
      <c r="A844" s="38">
        <v>45476</v>
      </c>
      <c r="B844" s="34">
        <v>428.3</v>
      </c>
      <c r="C844" s="34">
        <v>7159756</v>
      </c>
    </row>
    <row r="845" spans="1:3" ht="15.75" thickBot="1">
      <c r="A845" s="38">
        <v>45477</v>
      </c>
      <c r="B845" s="34">
        <v>429.05</v>
      </c>
      <c r="C845" s="34">
        <v>9127340</v>
      </c>
    </row>
    <row r="846" spans="1:3" ht="15.75" thickBot="1">
      <c r="A846" s="38">
        <v>45478</v>
      </c>
      <c r="B846" s="34">
        <v>433.65</v>
      </c>
      <c r="C846" s="34">
        <v>12929586</v>
      </c>
    </row>
    <row r="847" spans="1:3" ht="15.75" thickBot="1">
      <c r="A847" s="38">
        <v>45481</v>
      </c>
      <c r="B847" s="34">
        <v>443.6</v>
      </c>
      <c r="C847" s="34">
        <v>20521107</v>
      </c>
    </row>
    <row r="848" spans="1:3" ht="15.75" thickBot="1">
      <c r="A848" s="38">
        <v>45482</v>
      </c>
      <c r="B848" s="34">
        <v>452.6</v>
      </c>
      <c r="C848" s="34">
        <v>26470260</v>
      </c>
    </row>
    <row r="849" spans="1:3" ht="15.75" thickBot="1">
      <c r="A849" s="38">
        <v>45483</v>
      </c>
      <c r="B849" s="34">
        <v>451.45</v>
      </c>
      <c r="C849" s="34">
        <v>11618210</v>
      </c>
    </row>
    <row r="850" spans="1:3" ht="15.75" thickBot="1">
      <c r="A850" s="38">
        <v>45484</v>
      </c>
      <c r="B850" s="34">
        <v>458.65</v>
      </c>
      <c r="C850" s="34">
        <v>18831345</v>
      </c>
    </row>
    <row r="851" spans="1:3" ht="15.75" thickBot="1">
      <c r="A851" s="38">
        <v>45485</v>
      </c>
      <c r="B851" s="34">
        <v>459.05</v>
      </c>
      <c r="C851" s="34">
        <v>18962800</v>
      </c>
    </row>
    <row r="852" spans="1:3" ht="15.75" thickBot="1">
      <c r="A852" s="38">
        <v>45488</v>
      </c>
      <c r="B852" s="34">
        <v>463.4</v>
      </c>
      <c r="C852" s="34">
        <v>16251032</v>
      </c>
    </row>
    <row r="853" spans="1:3" ht="15.75" thickBot="1">
      <c r="A853" s="38">
        <v>45489</v>
      </c>
      <c r="B853" s="34">
        <v>465.55</v>
      </c>
      <c r="C853" s="34">
        <v>12996711</v>
      </c>
    </row>
    <row r="854" spans="1:3" ht="15.75" thickBot="1">
      <c r="A854" s="38">
        <v>45491</v>
      </c>
      <c r="B854" s="34">
        <v>470.25</v>
      </c>
      <c r="C854" s="34">
        <v>21094737</v>
      </c>
    </row>
    <row r="855" spans="1:3" ht="15.75" thickBot="1">
      <c r="A855" s="38">
        <v>45492</v>
      </c>
      <c r="B855" s="34">
        <v>474.55</v>
      </c>
      <c r="C855" s="34">
        <v>24977373</v>
      </c>
    </row>
    <row r="856" spans="1:3" ht="15.75" thickBot="1">
      <c r="A856" s="38">
        <v>45495</v>
      </c>
      <c r="B856" s="34">
        <v>466.55</v>
      </c>
      <c r="C856" s="34">
        <v>18066586</v>
      </c>
    </row>
    <row r="857" spans="1:3" ht="15.75" thickBot="1">
      <c r="A857" s="38">
        <v>45496</v>
      </c>
      <c r="B857" s="34">
        <v>492.2</v>
      </c>
      <c r="C857" s="34">
        <v>54044423</v>
      </c>
    </row>
    <row r="858" spans="1:3" ht="15.75" thickBot="1">
      <c r="A858" s="38">
        <v>45497</v>
      </c>
      <c r="B858" s="34">
        <v>494.05</v>
      </c>
      <c r="C858" s="34">
        <v>42073323</v>
      </c>
    </row>
    <row r="859" spans="1:3" ht="15.75" thickBot="1">
      <c r="A859" s="38">
        <v>45498</v>
      </c>
      <c r="B859" s="34">
        <v>489.95</v>
      </c>
      <c r="C859" s="34">
        <v>17878994</v>
      </c>
    </row>
    <row r="860" spans="1:3" ht="15.75" thickBot="1">
      <c r="A860" s="38">
        <v>45499</v>
      </c>
      <c r="B860" s="34">
        <v>502.2</v>
      </c>
      <c r="C860" s="34">
        <v>20736094</v>
      </c>
    </row>
    <row r="861" spans="1:3" ht="15.75" thickBot="1">
      <c r="A861" s="38">
        <v>45502</v>
      </c>
      <c r="B861" s="34">
        <v>496.05</v>
      </c>
      <c r="C861" s="34">
        <v>12496895</v>
      </c>
    </row>
    <row r="862" spans="1:3" ht="15.75" thickBot="1">
      <c r="A862" s="38">
        <v>45503</v>
      </c>
      <c r="B862" s="34">
        <v>489.9</v>
      </c>
      <c r="C862" s="34">
        <v>13375906</v>
      </c>
    </row>
    <row r="863" spans="1:3" ht="15.75" thickBot="1">
      <c r="A863" s="38">
        <v>45504</v>
      </c>
      <c r="B863" s="34">
        <v>495.35</v>
      </c>
      <c r="C863" s="34">
        <v>11538215</v>
      </c>
    </row>
    <row r="864" spans="1:3" ht="15.75" thickBot="1">
      <c r="A864" s="38">
        <v>45505</v>
      </c>
      <c r="B864" s="34">
        <v>493.7</v>
      </c>
      <c r="C864" s="34">
        <v>11665529</v>
      </c>
    </row>
    <row r="865" spans="1:3" ht="15.75" thickBot="1">
      <c r="A865" s="38">
        <v>45506</v>
      </c>
      <c r="B865" s="34">
        <v>489.1</v>
      </c>
      <c r="C865" s="34">
        <v>21320064</v>
      </c>
    </row>
    <row r="866" spans="1:3" ht="15.75" thickBot="1">
      <c r="A866" s="38">
        <v>45509</v>
      </c>
      <c r="B866" s="34">
        <v>486</v>
      </c>
      <c r="C866" s="34">
        <v>24094139</v>
      </c>
    </row>
    <row r="867" spans="1:3" ht="15.75" thickBot="1">
      <c r="A867" s="38">
        <v>45510</v>
      </c>
      <c r="B867" s="34">
        <v>486.3</v>
      </c>
      <c r="C867" s="34">
        <v>13722855</v>
      </c>
    </row>
    <row r="868" spans="1:3" ht="15.75" thickBot="1">
      <c r="A868" s="38">
        <v>45511</v>
      </c>
      <c r="B868" s="34">
        <v>492.65</v>
      </c>
      <c r="C868" s="34">
        <v>10900585</v>
      </c>
    </row>
    <row r="869" spans="1:3" ht="15.75" thickBot="1">
      <c r="A869" s="38">
        <v>45512</v>
      </c>
      <c r="B869" s="34">
        <v>494.75</v>
      </c>
      <c r="C869" s="34">
        <v>20558134</v>
      </c>
    </row>
    <row r="870" spans="1:3" ht="15.75" thickBot="1">
      <c r="A870" s="38">
        <v>45513</v>
      </c>
      <c r="B870" s="34">
        <v>495.9</v>
      </c>
      <c r="C870" s="34">
        <v>9201793</v>
      </c>
    </row>
    <row r="871" spans="1:3" ht="15.75" thickBot="1">
      <c r="A871" s="38">
        <v>45516</v>
      </c>
      <c r="B871" s="34">
        <v>494.6</v>
      </c>
      <c r="C871" s="34">
        <v>9076097</v>
      </c>
    </row>
    <row r="872" spans="1:3" ht="15.75" thickBot="1">
      <c r="A872" s="38">
        <v>45517</v>
      </c>
      <c r="B872" s="34">
        <v>490</v>
      </c>
      <c r="C872" s="34">
        <v>7757706</v>
      </c>
    </row>
    <row r="873" spans="1:3" ht="15.75" thickBot="1">
      <c r="A873" s="38">
        <v>45518</v>
      </c>
      <c r="B873" s="34">
        <v>492.2</v>
      </c>
      <c r="C873" s="34">
        <v>9253598</v>
      </c>
    </row>
    <row r="874" spans="1:3" ht="15.75" thickBot="1">
      <c r="A874" s="38">
        <v>45520</v>
      </c>
      <c r="B874" s="34">
        <v>502.65</v>
      </c>
      <c r="C874" s="34">
        <v>13137392</v>
      </c>
    </row>
    <row r="875" spans="1:3" ht="15.75" thickBot="1">
      <c r="A875" s="38">
        <v>45523</v>
      </c>
      <c r="B875" s="34">
        <v>501.45</v>
      </c>
      <c r="C875" s="34">
        <v>10198725</v>
      </c>
    </row>
    <row r="876" spans="1:3" ht="15.75" thickBot="1">
      <c r="A876" s="38">
        <v>45524</v>
      </c>
      <c r="B876" s="34">
        <v>498.8</v>
      </c>
      <c r="C876" s="34">
        <v>6633171</v>
      </c>
    </row>
    <row r="877" spans="1:3" ht="15.75" thickBot="1">
      <c r="A877" s="38">
        <v>45525</v>
      </c>
      <c r="B877" s="34">
        <v>505.4</v>
      </c>
      <c r="C877" s="34">
        <v>8474830</v>
      </c>
    </row>
    <row r="878" spans="1:3" ht="15.75" thickBot="1">
      <c r="A878" s="38">
        <v>45526</v>
      </c>
      <c r="B878" s="34">
        <v>504.55</v>
      </c>
      <c r="C878" s="34">
        <v>8364290</v>
      </c>
    </row>
    <row r="879" spans="1:3" ht="15.75" thickBot="1">
      <c r="A879" s="38">
        <v>45527</v>
      </c>
      <c r="B879" s="34">
        <v>505.8</v>
      </c>
      <c r="C879" s="34">
        <v>7891446</v>
      </c>
    </row>
    <row r="880" spans="1:3" ht="15.75" thickBot="1">
      <c r="A880" s="38">
        <v>45530</v>
      </c>
      <c r="B880" s="34">
        <v>505.7</v>
      </c>
      <c r="C880" s="34">
        <v>7825037</v>
      </c>
    </row>
    <row r="881" spans="1:3" ht="15.75" thickBot="1">
      <c r="A881" s="38">
        <v>45531</v>
      </c>
      <c r="B881" s="34">
        <v>500.6</v>
      </c>
      <c r="C881" s="34">
        <v>7954114</v>
      </c>
    </row>
    <row r="882" spans="1:3" ht="15.75" thickBot="1">
      <c r="A882" s="38">
        <v>45532</v>
      </c>
      <c r="B882" s="34">
        <v>497.3</v>
      </c>
      <c r="C882" s="34">
        <v>7782216</v>
      </c>
    </row>
    <row r="883" spans="1:3" ht="15.75" thickBot="1">
      <c r="A883" s="38">
        <v>45533</v>
      </c>
      <c r="B883" s="34">
        <v>505.1</v>
      </c>
      <c r="C883" s="34">
        <v>18670632</v>
      </c>
    </row>
    <row r="884" spans="1:3" ht="15.75" thickBot="1">
      <c r="A884" s="38">
        <v>45534</v>
      </c>
      <c r="B884" s="34">
        <v>501.9</v>
      </c>
      <c r="C884" s="34">
        <v>14947670</v>
      </c>
    </row>
    <row r="885" spans="1:3" ht="15.75" thickBot="1">
      <c r="A885" s="38">
        <v>45537</v>
      </c>
      <c r="B885" s="34">
        <v>510.05</v>
      </c>
      <c r="C885" s="34">
        <v>15885469</v>
      </c>
    </row>
    <row r="886" spans="1:3" ht="15.75" thickBot="1">
      <c r="A886" s="38">
        <v>45538</v>
      </c>
      <c r="B886" s="34">
        <v>509.4</v>
      </c>
      <c r="C886" s="34">
        <v>12018677</v>
      </c>
    </row>
    <row r="887" spans="1:3" ht="15.75" thickBot="1">
      <c r="A887" s="38">
        <v>45539</v>
      </c>
      <c r="B887" s="34">
        <v>506.35</v>
      </c>
      <c r="C887" s="34">
        <v>8414967</v>
      </c>
    </row>
    <row r="888" spans="1:3" ht="15.75" thickBot="1">
      <c r="A888" s="38">
        <v>45540</v>
      </c>
      <c r="B888" s="34">
        <v>511.2</v>
      </c>
      <c r="C888" s="34">
        <v>10898888</v>
      </c>
    </row>
    <row r="889" spans="1:3" ht="15.75" thickBot="1">
      <c r="A889" s="38">
        <v>45541</v>
      </c>
      <c r="B889" s="34">
        <v>501.7</v>
      </c>
      <c r="C889" s="34">
        <v>13716752</v>
      </c>
    </row>
    <row r="890" spans="1:3" ht="15.75" thickBot="1">
      <c r="A890" s="38">
        <v>45544</v>
      </c>
      <c r="B890" s="34">
        <v>511.75</v>
      </c>
      <c r="C890" s="34">
        <v>13736044</v>
      </c>
    </row>
    <row r="891" spans="1:3" ht="15.75" thickBot="1">
      <c r="A891" s="38">
        <v>45545</v>
      </c>
      <c r="B891" s="34">
        <v>513.6</v>
      </c>
      <c r="C891" s="34">
        <v>10911995</v>
      </c>
    </row>
    <row r="892" spans="1:3" ht="15.75" thickBot="1">
      <c r="A892" s="38">
        <v>45546</v>
      </c>
      <c r="B892" s="34">
        <v>514.35</v>
      </c>
      <c r="C892" s="34">
        <v>14922832</v>
      </c>
    </row>
    <row r="893" spans="1:3" ht="15.75" thickBot="1">
      <c r="A893" s="38">
        <v>45547</v>
      </c>
      <c r="B893" s="34">
        <v>519.5</v>
      </c>
      <c r="C893" s="34">
        <v>18377550</v>
      </c>
    </row>
    <row r="894" spans="1:3" ht="15.75" thickBot="1">
      <c r="A894" s="38">
        <v>45548</v>
      </c>
      <c r="B894" s="34">
        <v>513.85</v>
      </c>
      <c r="C894" s="34">
        <v>8825193</v>
      </c>
    </row>
    <row r="895" spans="1:3" ht="15.75" thickBot="1">
      <c r="A895" s="38">
        <v>45551</v>
      </c>
      <c r="B895" s="34">
        <v>511.1</v>
      </c>
      <c r="C895" s="34">
        <v>7531604</v>
      </c>
    </row>
    <row r="896" spans="1:3" ht="15.75" thickBot="1">
      <c r="A896" s="38">
        <v>45552</v>
      </c>
      <c r="B896" s="34">
        <v>507.75</v>
      </c>
      <c r="C896" s="34">
        <v>10486015</v>
      </c>
    </row>
    <row r="897" spans="1:3" ht="15.75" thickBot="1">
      <c r="A897" s="38">
        <v>45553</v>
      </c>
      <c r="B897" s="34">
        <v>507.35</v>
      </c>
      <c r="C897" s="34">
        <v>5429619</v>
      </c>
    </row>
    <row r="898" spans="1:3" ht="15.75" thickBot="1">
      <c r="A898" s="38">
        <v>45554</v>
      </c>
      <c r="B898" s="34">
        <v>508.25</v>
      </c>
      <c r="C898" s="34">
        <v>13925311</v>
      </c>
    </row>
    <row r="899" spans="1:3" ht="15.75" thickBot="1">
      <c r="A899" s="38">
        <v>45555</v>
      </c>
      <c r="B899" s="34">
        <v>514.4</v>
      </c>
      <c r="C899" s="34">
        <v>23808194</v>
      </c>
    </row>
    <row r="900" spans="1:3" ht="15.75" thickBot="1">
      <c r="A900" s="38">
        <v>45558</v>
      </c>
      <c r="B900" s="34">
        <v>516.95000000000005</v>
      </c>
      <c r="C900" s="34">
        <v>7804918</v>
      </c>
    </row>
    <row r="901" spans="1:3" ht="15.75" thickBot="1">
      <c r="A901" s="38">
        <v>45559</v>
      </c>
      <c r="B901" s="34">
        <v>515.25</v>
      </c>
      <c r="C901" s="34">
        <v>6755320</v>
      </c>
    </row>
    <row r="902" spans="1:3" ht="15.75" thickBot="1">
      <c r="A902" s="38">
        <v>45560</v>
      </c>
      <c r="B902" s="34">
        <v>517.54999999999995</v>
      </c>
      <c r="C902" s="34">
        <v>8476223</v>
      </c>
    </row>
    <row r="903" spans="1:3" ht="15.75" thickBot="1">
      <c r="A903" s="38">
        <v>45561</v>
      </c>
      <c r="B903" s="34">
        <v>522.75</v>
      </c>
      <c r="C903" s="34">
        <v>15489991</v>
      </c>
    </row>
    <row r="904" spans="1:3" ht="15.75" thickBot="1">
      <c r="A904" s="38">
        <v>45562</v>
      </c>
      <c r="B904" s="34">
        <v>522.70000000000005</v>
      </c>
      <c r="C904" s="34">
        <v>17251962</v>
      </c>
    </row>
    <row r="905" spans="1:3" ht="15.75" thickBot="1">
      <c r="A905" s="38">
        <v>45565</v>
      </c>
      <c r="B905" s="34">
        <v>518.15</v>
      </c>
      <c r="C905" s="34">
        <v>10531347</v>
      </c>
    </row>
    <row r="906" spans="1:3" ht="15.75" thickBot="1">
      <c r="A906" s="38">
        <v>45566</v>
      </c>
      <c r="B906" s="34">
        <v>516.20000000000005</v>
      </c>
      <c r="C906" s="34">
        <v>5089315</v>
      </c>
    </row>
    <row r="907" spans="1:3" ht="15.75" thickBot="1">
      <c r="A907" s="38">
        <v>45568</v>
      </c>
      <c r="B907" s="34">
        <v>512.75</v>
      </c>
      <c r="C907" s="34">
        <v>15870147</v>
      </c>
    </row>
    <row r="908" spans="1:3" ht="15.75" thickBot="1">
      <c r="A908" s="38">
        <v>45569</v>
      </c>
      <c r="B908" s="34">
        <v>503.55</v>
      </c>
      <c r="C908" s="34">
        <v>18228912</v>
      </c>
    </row>
    <row r="909" spans="1:3" ht="15.75" thickBot="1">
      <c r="A909" s="38">
        <v>45572</v>
      </c>
      <c r="B909" s="34">
        <v>510.2</v>
      </c>
      <c r="C909" s="34">
        <v>16479772</v>
      </c>
    </row>
    <row r="910" spans="1:3" ht="15.75" thickBot="1">
      <c r="A910" s="38">
        <v>45573</v>
      </c>
      <c r="B910" s="34">
        <v>507.95</v>
      </c>
      <c r="C910" s="34">
        <v>9502367</v>
      </c>
    </row>
    <row r="911" spans="1:3" ht="15.75" thickBot="1">
      <c r="A911" s="38">
        <v>45574</v>
      </c>
      <c r="B911" s="34">
        <v>491.7</v>
      </c>
      <c r="C911" s="34">
        <v>23952459</v>
      </c>
    </row>
    <row r="912" spans="1:3" ht="15.75" thickBot="1">
      <c r="A912" s="38">
        <v>45575</v>
      </c>
      <c r="B912" s="34">
        <v>492.05</v>
      </c>
      <c r="C912" s="34">
        <v>12799333</v>
      </c>
    </row>
    <row r="913" spans="1:3" ht="15.75" thickBot="1">
      <c r="A913" s="38">
        <v>45576</v>
      </c>
      <c r="B913" s="34">
        <v>488.2</v>
      </c>
      <c r="C913" s="34">
        <v>14394986</v>
      </c>
    </row>
    <row r="914" spans="1:3" ht="15.75" thickBot="1">
      <c r="A914" s="38">
        <v>45579</v>
      </c>
      <c r="B914" s="34">
        <v>496.95</v>
      </c>
      <c r="C914" s="34">
        <v>6712103</v>
      </c>
    </row>
    <row r="915" spans="1:3" ht="15.75" thickBot="1">
      <c r="A915" s="38">
        <v>45580</v>
      </c>
      <c r="B915" s="34">
        <v>498.55</v>
      </c>
      <c r="C915" s="34">
        <v>8037662</v>
      </c>
    </row>
    <row r="916" spans="1:3" ht="15.75" thickBot="1">
      <c r="A916" s="38">
        <v>45581</v>
      </c>
      <c r="B916" s="34">
        <v>493.2</v>
      </c>
      <c r="C916" s="34">
        <v>6682083</v>
      </c>
    </row>
    <row r="917" spans="1:3" ht="15.75" thickBot="1">
      <c r="A917" s="38">
        <v>45582</v>
      </c>
      <c r="B917" s="34">
        <v>488.9</v>
      </c>
      <c r="C917" s="34">
        <v>7385299</v>
      </c>
    </row>
    <row r="918" spans="1:3" ht="15.75" thickBot="1">
      <c r="A918" s="38">
        <v>45583</v>
      </c>
      <c r="B918" s="34">
        <v>486.7</v>
      </c>
      <c r="C918" s="34">
        <v>21778099</v>
      </c>
    </row>
    <row r="919" spans="1:3" ht="15.75" thickBot="1">
      <c r="A919" s="38">
        <v>45586</v>
      </c>
      <c r="B919" s="34">
        <v>483.65</v>
      </c>
      <c r="C919" s="34">
        <v>7395274</v>
      </c>
    </row>
    <row r="920" spans="1:3" ht="15.75" thickBot="1">
      <c r="A920" s="38">
        <v>45587</v>
      </c>
      <c r="B920" s="34">
        <v>481.8</v>
      </c>
      <c r="C920" s="34">
        <v>12299288</v>
      </c>
    </row>
    <row r="921" spans="1:3" ht="15.75" thickBot="1">
      <c r="A921" s="38">
        <v>45588</v>
      </c>
      <c r="B921" s="34">
        <v>480.35</v>
      </c>
      <c r="C921" s="34">
        <v>10162570</v>
      </c>
    </row>
    <row r="922" spans="1:3" ht="15.75" thickBot="1">
      <c r="A922" s="38">
        <v>45589</v>
      </c>
      <c r="B922" s="34">
        <v>471.7</v>
      </c>
      <c r="C922" s="34">
        <v>13092399</v>
      </c>
    </row>
    <row r="923" spans="1:3" ht="15.75" thickBot="1">
      <c r="A923" s="38">
        <v>45590</v>
      </c>
      <c r="B923" s="34">
        <v>482.3</v>
      </c>
      <c r="C923" s="34">
        <v>30961625</v>
      </c>
    </row>
    <row r="924" spans="1:3" ht="15.75" thickBot="1">
      <c r="A924" s="38">
        <v>45593</v>
      </c>
      <c r="B924" s="34">
        <v>484.15</v>
      </c>
      <c r="C924" s="34">
        <v>8614446</v>
      </c>
    </row>
    <row r="925" spans="1:3" ht="15.75" thickBot="1">
      <c r="A925" s="38">
        <v>45594</v>
      </c>
      <c r="B925" s="34">
        <v>487.95</v>
      </c>
      <c r="C925" s="34">
        <v>6866704</v>
      </c>
    </row>
    <row r="926" spans="1:3" ht="15.75" thickBot="1">
      <c r="A926" s="38">
        <v>45595</v>
      </c>
      <c r="B926" s="34">
        <v>491.55</v>
      </c>
      <c r="C926" s="34">
        <v>6393835</v>
      </c>
    </row>
    <row r="927" spans="1:3" ht="15.75" thickBot="1">
      <c r="A927" s="38">
        <v>45596</v>
      </c>
      <c r="B927" s="34">
        <v>488.8</v>
      </c>
      <c r="C927" s="34">
        <v>7810874</v>
      </c>
    </row>
    <row r="928" spans="1:3" ht="15.75" thickBot="1">
      <c r="A928" s="38">
        <v>45600</v>
      </c>
      <c r="B928" s="34">
        <v>484.6</v>
      </c>
      <c r="C928" s="34">
        <v>8429731</v>
      </c>
    </row>
    <row r="929" spans="1:3" ht="15.75" thickBot="1">
      <c r="A929" s="38">
        <v>45601</v>
      </c>
      <c r="B929" s="34">
        <v>480.2</v>
      </c>
      <c r="C929" s="34">
        <v>7327830</v>
      </c>
    </row>
    <row r="930" spans="1:3" ht="15.75" thickBot="1">
      <c r="A930" s="38">
        <v>45602</v>
      </c>
      <c r="B930" s="34">
        <v>481.1</v>
      </c>
      <c r="C930" s="34">
        <v>11313985</v>
      </c>
    </row>
    <row r="931" spans="1:3" ht="15.75" thickBot="1">
      <c r="A931" s="38">
        <v>45603</v>
      </c>
      <c r="B931" s="34">
        <v>477.9</v>
      </c>
      <c r="C931" s="34">
        <v>8924280</v>
      </c>
    </row>
    <row r="932" spans="1:3" ht="15.75" thickBot="1">
      <c r="A932" s="38">
        <v>45604</v>
      </c>
      <c r="B932" s="34">
        <v>478.05</v>
      </c>
      <c r="C932" s="34">
        <v>6090462</v>
      </c>
    </row>
    <row r="933" spans="1:3" ht="15.75" thickBot="1">
      <c r="A933" s="38">
        <v>45607</v>
      </c>
      <c r="B933" s="34">
        <v>476.95</v>
      </c>
      <c r="C933" s="34">
        <v>5488948</v>
      </c>
    </row>
    <row r="934" spans="1:3" ht="15.75" thickBot="1">
      <c r="A934" s="38">
        <v>45608</v>
      </c>
      <c r="B934" s="34">
        <v>472.85</v>
      </c>
      <c r="C934" s="34">
        <v>5041916</v>
      </c>
    </row>
    <row r="935" spans="1:3" ht="15.75" thickBot="1">
      <c r="A935" s="38">
        <v>45609</v>
      </c>
      <c r="B935" s="34">
        <v>472.2</v>
      </c>
      <c r="C935" s="34">
        <v>11120381</v>
      </c>
    </row>
    <row r="936" spans="1:3" ht="15.75" thickBot="1">
      <c r="A936" s="38">
        <v>45610</v>
      </c>
      <c r="B936" s="34">
        <v>465.95</v>
      </c>
      <c r="C936" s="34">
        <v>11639562</v>
      </c>
    </row>
    <row r="937" spans="1:3" ht="15.75" thickBot="1">
      <c r="A937" s="38">
        <v>45614</v>
      </c>
      <c r="B937" s="34">
        <v>466.55</v>
      </c>
      <c r="C937" s="34">
        <v>8135260</v>
      </c>
    </row>
    <row r="938" spans="1:3" ht="15.75" thickBot="1">
      <c r="A938" s="38">
        <v>45615</v>
      </c>
      <c r="B938" s="34">
        <v>467.35</v>
      </c>
      <c r="C938" s="34">
        <v>6857374</v>
      </c>
    </row>
    <row r="939" spans="1:3" ht="15.75" thickBot="1">
      <c r="A939" s="38">
        <v>45617</v>
      </c>
      <c r="B939" s="34">
        <v>457.15</v>
      </c>
      <c r="C939" s="34">
        <v>19559847</v>
      </c>
    </row>
    <row r="940" spans="1:3" ht="15.75" thickBot="1">
      <c r="A940" s="38">
        <v>45618</v>
      </c>
      <c r="B940" s="34">
        <v>474.65</v>
      </c>
      <c r="C940" s="34">
        <v>19464568</v>
      </c>
    </row>
    <row r="941" spans="1:3" ht="15.75" thickBot="1">
      <c r="A941" s="38">
        <v>45621</v>
      </c>
      <c r="B941" s="34">
        <v>476.8</v>
      </c>
      <c r="C941" s="34">
        <v>13891991</v>
      </c>
    </row>
    <row r="942" spans="1:3" ht="15.75" thickBot="1">
      <c r="A942" s="38">
        <v>45622</v>
      </c>
      <c r="B942" s="34">
        <v>477</v>
      </c>
      <c r="C942" s="34">
        <v>6539846</v>
      </c>
    </row>
    <row r="943" spans="1:3" ht="15.75" thickBot="1">
      <c r="A943" s="38">
        <v>45623</v>
      </c>
      <c r="B943" s="34">
        <v>476.95</v>
      </c>
      <c r="C943" s="34">
        <v>7067013</v>
      </c>
    </row>
    <row r="944" spans="1:3" ht="15.75" thickBot="1">
      <c r="A944" s="38">
        <v>45624</v>
      </c>
      <c r="B944" s="34">
        <v>474.9</v>
      </c>
      <c r="C944" s="34">
        <v>14412539</v>
      </c>
    </row>
    <row r="945" spans="1:3" ht="15.75" thickBot="1">
      <c r="A945" s="38">
        <v>45625</v>
      </c>
      <c r="B945" s="34">
        <v>476.75</v>
      </c>
      <c r="C945" s="34">
        <v>8346687</v>
      </c>
    </row>
    <row r="946" spans="1:3" ht="15.75" thickBot="1">
      <c r="A946" s="38">
        <v>45628</v>
      </c>
      <c r="B946" s="34">
        <v>477.2</v>
      </c>
      <c r="C946" s="34">
        <v>5478598</v>
      </c>
    </row>
    <row r="947" spans="1:3" ht="15.75" thickBot="1">
      <c r="A947" s="38">
        <v>45629</v>
      </c>
      <c r="B947" s="34">
        <v>472.55</v>
      </c>
      <c r="C947" s="34">
        <v>22218251</v>
      </c>
    </row>
    <row r="948" spans="1:3" ht="15.75" thickBot="1">
      <c r="A948" s="38">
        <v>45630</v>
      </c>
      <c r="B948" s="34">
        <v>467.1</v>
      </c>
      <c r="C948" s="34">
        <v>13439484</v>
      </c>
    </row>
    <row r="949" spans="1:3" ht="15.75" thickBot="1">
      <c r="A949" s="38">
        <v>45631</v>
      </c>
      <c r="B949" s="34">
        <v>467.5</v>
      </c>
      <c r="C949" s="34">
        <v>26415053</v>
      </c>
    </row>
    <row r="950" spans="1:3" ht="15.75" thickBot="1">
      <c r="A950" s="38">
        <v>45632</v>
      </c>
      <c r="B950" s="34">
        <v>471.15</v>
      </c>
      <c r="C950" s="34">
        <v>7551407</v>
      </c>
    </row>
    <row r="951" spans="1:3" ht="15.75" thickBot="1">
      <c r="A951" s="38">
        <v>45635</v>
      </c>
      <c r="B951" s="34">
        <v>464.95</v>
      </c>
      <c r="C951" s="34">
        <v>11703384</v>
      </c>
    </row>
    <row r="952" spans="1:3" ht="15.75" thickBot="1">
      <c r="A952" s="38">
        <v>45636</v>
      </c>
      <c r="B952" s="34">
        <v>465.45</v>
      </c>
      <c r="C952" s="34">
        <v>8823805</v>
      </c>
    </row>
    <row r="953" spans="1:3" ht="15.75" thickBot="1">
      <c r="A953" s="38">
        <v>45637</v>
      </c>
      <c r="B953" s="34">
        <v>465.25</v>
      </c>
      <c r="C953" s="34">
        <v>6745816</v>
      </c>
    </row>
    <row r="954" spans="1:3" ht="15.75" thickBot="1">
      <c r="A954" s="38">
        <v>45638</v>
      </c>
      <c r="B954" s="34">
        <v>460.6</v>
      </c>
      <c r="C954" s="34">
        <v>12884401</v>
      </c>
    </row>
    <row r="955" spans="1:3" ht="15.75" thickBot="1">
      <c r="A955" s="38">
        <v>45639</v>
      </c>
      <c r="B955" s="34">
        <v>470</v>
      </c>
      <c r="C955" s="34">
        <v>31753858</v>
      </c>
    </row>
    <row r="956" spans="1:3" ht="15.75" thickBot="1">
      <c r="A956" s="38">
        <v>45642</v>
      </c>
      <c r="B956" s="34">
        <v>470.1</v>
      </c>
      <c r="C956" s="34">
        <v>9007264</v>
      </c>
    </row>
    <row r="957" spans="1:3" ht="15.75" thickBot="1">
      <c r="A957" s="38">
        <v>45643</v>
      </c>
      <c r="B957" s="34">
        <v>469.55</v>
      </c>
      <c r="C957" s="34">
        <v>19844152</v>
      </c>
    </row>
    <row r="958" spans="1:3" ht="15.75" thickBot="1">
      <c r="A958" s="38">
        <v>45644</v>
      </c>
      <c r="B958" s="34">
        <v>470.5</v>
      </c>
      <c r="C958" s="34">
        <v>12365167</v>
      </c>
    </row>
    <row r="959" spans="1:3" ht="15.75" thickBot="1">
      <c r="A959" s="38">
        <v>45645</v>
      </c>
      <c r="B959" s="34">
        <v>466.55</v>
      </c>
      <c r="C959" s="34">
        <v>14599270</v>
      </c>
    </row>
    <row r="960" spans="1:3" ht="15.75" thickBot="1">
      <c r="A960" s="38">
        <v>45646</v>
      </c>
      <c r="B960" s="34">
        <v>464.65</v>
      </c>
      <c r="C960" s="34">
        <v>19481288</v>
      </c>
    </row>
    <row r="961" spans="1:3" ht="15.75" thickBot="1">
      <c r="A961" s="38">
        <v>45649</v>
      </c>
      <c r="B961" s="34">
        <v>474.25</v>
      </c>
      <c r="C961" s="34">
        <v>18837469</v>
      </c>
    </row>
    <row r="962" spans="1:3" ht="15.75" thickBot="1">
      <c r="A962" s="38">
        <v>45650</v>
      </c>
      <c r="B962" s="34">
        <v>478.45</v>
      </c>
      <c r="C962" s="34">
        <v>11564497</v>
      </c>
    </row>
    <row r="963" spans="1:3" ht="15.75" thickBot="1">
      <c r="A963" s="38">
        <v>45652</v>
      </c>
      <c r="B963" s="34">
        <v>476.95</v>
      </c>
      <c r="C963" s="34">
        <v>8848065</v>
      </c>
    </row>
    <row r="964" spans="1:3" ht="15.75" thickBot="1">
      <c r="A964" s="38">
        <v>45653</v>
      </c>
      <c r="B964" s="34">
        <v>478.6</v>
      </c>
      <c r="C964" s="34">
        <v>16279450</v>
      </c>
    </row>
    <row r="965" spans="1:3" ht="15.75" thickBot="1">
      <c r="A965" s="38">
        <v>45656</v>
      </c>
      <c r="B965" s="34">
        <v>477</v>
      </c>
      <c r="C965" s="34">
        <v>13074810</v>
      </c>
    </row>
    <row r="966" spans="1:3" ht="15.75" thickBot="1">
      <c r="A966" s="38">
        <v>45657</v>
      </c>
      <c r="B966" s="34">
        <v>483.65</v>
      </c>
      <c r="C966" s="34">
        <v>13276195</v>
      </c>
    </row>
    <row r="967" spans="1:3" ht="15.75" thickBot="1">
      <c r="A967" s="38">
        <v>45658</v>
      </c>
      <c r="B967" s="34">
        <v>483.95</v>
      </c>
      <c r="C967" s="34">
        <v>18229128</v>
      </c>
    </row>
    <row r="968" spans="1:3" ht="15.75" thickBot="1">
      <c r="A968" s="38">
        <v>45659</v>
      </c>
      <c r="B968" s="34">
        <v>489.05</v>
      </c>
      <c r="C968" s="34">
        <v>26124980</v>
      </c>
    </row>
    <row r="969" spans="1:3" ht="15.75" thickBot="1">
      <c r="A969" s="38">
        <v>45660</v>
      </c>
      <c r="B969" s="34">
        <v>481.6</v>
      </c>
      <c r="C969" s="34">
        <v>37072992</v>
      </c>
    </row>
    <row r="970" spans="1:3" ht="15.75" thickBot="1">
      <c r="A970" s="38">
        <v>45663</v>
      </c>
      <c r="B970" s="34">
        <v>442.65</v>
      </c>
      <c r="C970" s="34">
        <v>22009958</v>
      </c>
    </row>
    <row r="971" spans="1:3" ht="15.75" thickBot="1">
      <c r="A971" s="38">
        <v>45664</v>
      </c>
      <c r="B971" s="34">
        <v>441.1</v>
      </c>
      <c r="C971" s="34">
        <v>14294780</v>
      </c>
    </row>
    <row r="972" spans="1:3" ht="15.75" thickBot="1">
      <c r="A972" s="38">
        <v>45665</v>
      </c>
      <c r="B972" s="34">
        <v>449.55</v>
      </c>
      <c r="C972" s="34">
        <v>13482926</v>
      </c>
    </row>
    <row r="973" spans="1:3" ht="15.75" thickBot="1">
      <c r="A973" s="38">
        <v>45666</v>
      </c>
      <c r="B973" s="34">
        <v>450.1</v>
      </c>
      <c r="C973" s="34">
        <v>19732649</v>
      </c>
    </row>
    <row r="974" spans="1:3" ht="15.75" thickBot="1">
      <c r="A974" s="38">
        <v>45667</v>
      </c>
      <c r="B974" s="34">
        <v>444.9</v>
      </c>
      <c r="C974" s="34">
        <v>9145729</v>
      </c>
    </row>
    <row r="975" spans="1:3" ht="15.75" thickBot="1">
      <c r="A975" s="38">
        <v>45670</v>
      </c>
      <c r="B975" s="34">
        <v>439.05</v>
      </c>
      <c r="C975" s="34">
        <v>17799607</v>
      </c>
    </row>
    <row r="976" spans="1:3" ht="15.75" thickBot="1">
      <c r="A976" s="38">
        <v>45671</v>
      </c>
      <c r="B976" s="34">
        <v>436.6</v>
      </c>
      <c r="C976" s="34">
        <v>18048459</v>
      </c>
    </row>
    <row r="977" spans="1:3" ht="15.75" thickBot="1">
      <c r="A977" s="38">
        <v>45672</v>
      </c>
      <c r="B977" s="34">
        <v>437.35</v>
      </c>
      <c r="C977" s="34">
        <v>9786805</v>
      </c>
    </row>
    <row r="978" spans="1:3" ht="15.75" thickBot="1">
      <c r="A978" s="38">
        <v>45673</v>
      </c>
      <c r="B978" s="34">
        <v>432.85</v>
      </c>
      <c r="C978" s="34">
        <v>15774070</v>
      </c>
    </row>
    <row r="979" spans="1:3" ht="15.75" thickBot="1">
      <c r="A979" s="38">
        <v>45674</v>
      </c>
      <c r="B979" s="34">
        <v>440.2</v>
      </c>
      <c r="C979" s="34">
        <v>11270061</v>
      </c>
    </row>
    <row r="980" spans="1:3" ht="15.75" thickBot="1">
      <c r="A980" s="38">
        <v>45677</v>
      </c>
      <c r="B980" s="34">
        <v>437.7</v>
      </c>
      <c r="C980" s="34">
        <v>8742771</v>
      </c>
    </row>
    <row r="981" spans="1:3" ht="15.75" thickBot="1">
      <c r="A981" s="38">
        <v>45678</v>
      </c>
      <c r="B981" s="34">
        <v>437.55</v>
      </c>
      <c r="C981" s="34">
        <v>15686500</v>
      </c>
    </row>
    <row r="982" spans="1:3" ht="15.75" thickBot="1">
      <c r="A982" s="38">
        <v>45679</v>
      </c>
      <c r="B982" s="34">
        <v>437</v>
      </c>
      <c r="C982" s="34">
        <v>9619648</v>
      </c>
    </row>
    <row r="983" spans="1:3" ht="15.75" thickBot="1">
      <c r="A983" s="38">
        <v>45680</v>
      </c>
      <c r="B983" s="34">
        <v>440.2</v>
      </c>
      <c r="C983" s="34">
        <v>8888248</v>
      </c>
    </row>
    <row r="984" spans="1:3" ht="15.75" thickBot="1">
      <c r="A984" s="38">
        <v>45681</v>
      </c>
      <c r="B984" s="34">
        <v>441.6</v>
      </c>
      <c r="C984" s="34">
        <v>9665384</v>
      </c>
    </row>
    <row r="985" spans="1:3" ht="15.75" thickBot="1">
      <c r="A985" s="38">
        <v>45684</v>
      </c>
      <c r="B985" s="34">
        <v>440.1</v>
      </c>
      <c r="C985" s="34">
        <v>10480203</v>
      </c>
    </row>
    <row r="986" spans="1:3" ht="15.75" thickBot="1">
      <c r="A986" s="38">
        <v>45685</v>
      </c>
      <c r="B986" s="34">
        <v>435.45</v>
      </c>
      <c r="C986" s="34">
        <v>20813072</v>
      </c>
    </row>
    <row r="987" spans="1:3" ht="15.75" thickBot="1">
      <c r="A987" s="38">
        <v>45686</v>
      </c>
      <c r="B987" s="34">
        <v>433.35</v>
      </c>
      <c r="C987" s="34">
        <v>15158510</v>
      </c>
    </row>
    <row r="988" spans="1:3" ht="15.75" thickBot="1">
      <c r="A988" s="38">
        <v>45687</v>
      </c>
      <c r="B988" s="34">
        <v>436.2</v>
      </c>
      <c r="C988" s="34">
        <v>22496695</v>
      </c>
    </row>
    <row r="989" spans="1:3" ht="15.75" thickBot="1">
      <c r="A989" s="38">
        <v>45688</v>
      </c>
      <c r="B989" s="34">
        <v>447.5</v>
      </c>
      <c r="C989" s="34">
        <v>13546181</v>
      </c>
    </row>
    <row r="990" spans="1:3" ht="15.75" thickBot="1">
      <c r="A990" s="38">
        <v>45691</v>
      </c>
      <c r="B990" s="34">
        <v>454.35</v>
      </c>
      <c r="C990" s="34">
        <v>16991730</v>
      </c>
    </row>
    <row r="991" spans="1:3" ht="15.75" thickBot="1">
      <c r="A991" s="38">
        <v>45692</v>
      </c>
      <c r="B991" s="34">
        <v>455.15</v>
      </c>
      <c r="C991" s="34">
        <v>18923681</v>
      </c>
    </row>
    <row r="992" spans="1:3" ht="15.75" thickBot="1">
      <c r="A992" s="38">
        <v>45693</v>
      </c>
      <c r="B992" s="34">
        <v>448.15</v>
      </c>
      <c r="C992" s="34">
        <v>12836283</v>
      </c>
    </row>
    <row r="993" spans="1:3" ht="15.75" thickBot="1">
      <c r="A993" s="38">
        <v>45694</v>
      </c>
      <c r="B993" s="34">
        <v>441.1</v>
      </c>
      <c r="C993" s="34">
        <v>17469129</v>
      </c>
    </row>
    <row r="994" spans="1:3" ht="15.75" thickBot="1">
      <c r="A994" s="38">
        <v>45695</v>
      </c>
      <c r="B994" s="34">
        <v>430.85</v>
      </c>
      <c r="C994" s="34">
        <v>18875982</v>
      </c>
    </row>
    <row r="995" spans="1:3" ht="15.75" thickBot="1">
      <c r="A995" s="38">
        <v>45698</v>
      </c>
      <c r="B995" s="34">
        <v>427.2</v>
      </c>
      <c r="C995" s="34">
        <v>12227140</v>
      </c>
    </row>
    <row r="996" spans="1:3" ht="15.75" thickBot="1">
      <c r="A996" s="38">
        <v>45699</v>
      </c>
      <c r="B996" s="34">
        <v>418.3</v>
      </c>
      <c r="C996" s="34">
        <v>14288751</v>
      </c>
    </row>
    <row r="997" spans="1:3" ht="15.75" thickBot="1">
      <c r="A997" s="38">
        <v>45700</v>
      </c>
      <c r="B997" s="34">
        <v>409.9</v>
      </c>
      <c r="C997" s="34">
        <v>13884574</v>
      </c>
    </row>
    <row r="998" spans="1:3" ht="15.75" thickBot="1">
      <c r="A998" s="38">
        <v>45701</v>
      </c>
      <c r="B998" s="34">
        <v>409.7</v>
      </c>
      <c r="C998" s="34">
        <v>12989029</v>
      </c>
    </row>
    <row r="999" spans="1:3" ht="15.75" thickBot="1">
      <c r="A999" s="38">
        <v>45702</v>
      </c>
      <c r="B999" s="34">
        <v>410.25</v>
      </c>
      <c r="C999" s="34">
        <v>14124236</v>
      </c>
    </row>
    <row r="1000" spans="1:3" ht="15.75" thickBot="1">
      <c r="A1000" s="38">
        <v>45705</v>
      </c>
      <c r="B1000" s="34">
        <v>408.6</v>
      </c>
      <c r="C1000" s="34">
        <v>11975265</v>
      </c>
    </row>
    <row r="1001" spans="1:3" ht="15.75" thickBot="1">
      <c r="A1001" s="38">
        <v>45706</v>
      </c>
      <c r="B1001" s="34">
        <v>405.25</v>
      </c>
      <c r="C1001" s="34">
        <v>12998403</v>
      </c>
    </row>
    <row r="1002" spans="1:3" ht="15.75" thickBot="1">
      <c r="A1002" s="38">
        <v>45707</v>
      </c>
      <c r="B1002" s="34">
        <v>406.4</v>
      </c>
      <c r="C1002" s="34">
        <v>7079032</v>
      </c>
    </row>
    <row r="1003" spans="1:3" ht="15.75" thickBot="1">
      <c r="A1003" s="38">
        <v>45708</v>
      </c>
      <c r="B1003" s="34">
        <v>402.05</v>
      </c>
      <c r="C1003" s="34">
        <v>15355585</v>
      </c>
    </row>
    <row r="1004" spans="1:3" ht="15.75" thickBot="1">
      <c r="A1004" s="38">
        <v>45709</v>
      </c>
      <c r="B1004" s="34">
        <v>400.9</v>
      </c>
      <c r="C1004" s="34">
        <v>8240986</v>
      </c>
    </row>
    <row r="1005" spans="1:3" ht="15.75" thickBot="1">
      <c r="A1005" s="38">
        <v>45712</v>
      </c>
      <c r="B1005" s="34">
        <v>401.9</v>
      </c>
      <c r="C1005" s="34">
        <v>7037625</v>
      </c>
    </row>
    <row r="1006" spans="1:3" ht="15.75" thickBot="1">
      <c r="A1006" s="38">
        <v>45713</v>
      </c>
      <c r="B1006" s="34">
        <v>404.85</v>
      </c>
      <c r="C1006" s="34">
        <v>15760891</v>
      </c>
    </row>
    <row r="1007" spans="1:3" ht="15.75" thickBot="1">
      <c r="A1007" s="38">
        <v>45715</v>
      </c>
      <c r="B1007" s="34">
        <v>401.6</v>
      </c>
      <c r="C1007" s="34">
        <v>19051003</v>
      </c>
    </row>
    <row r="1008" spans="1:3" ht="15.75" thickBot="1">
      <c r="A1008" s="38">
        <v>45716</v>
      </c>
      <c r="B1008" s="34">
        <v>395</v>
      </c>
      <c r="C1008" s="34">
        <v>31954776</v>
      </c>
    </row>
    <row r="1009" spans="1:1">
      <c r="A1009" s="35"/>
    </row>
    <row r="1010" spans="1:1">
      <c r="A1010" s="35"/>
    </row>
    <row r="1011" spans="1:1">
      <c r="A1011" s="35"/>
    </row>
    <row r="1012" spans="1:1">
      <c r="A1012" s="35"/>
    </row>
    <row r="1013" spans="1:1">
      <c r="A1013" s="35"/>
    </row>
    <row r="1014" spans="1:1">
      <c r="A1014" s="35"/>
    </row>
    <row r="1015" spans="1:1">
      <c r="A1015" s="35"/>
    </row>
    <row r="1016" spans="1:1">
      <c r="A1016" s="35"/>
    </row>
    <row r="1017" spans="1:1">
      <c r="A1017" s="35"/>
    </row>
    <row r="1018" spans="1:1">
      <c r="A1018" s="35"/>
    </row>
    <row r="1019" spans="1:1">
      <c r="A1019" s="35"/>
    </row>
    <row r="1020" spans="1:1">
      <c r="A1020" s="35"/>
    </row>
    <row r="1021" spans="1:1">
      <c r="A1021" s="35"/>
    </row>
    <row r="1022" spans="1:1">
      <c r="A1022" s="35"/>
    </row>
    <row r="1023" spans="1:1">
      <c r="A1023" s="35"/>
    </row>
    <row r="1024" spans="1:1">
      <c r="A1024" s="35"/>
    </row>
    <row r="1025" spans="1:1">
      <c r="A1025" s="35"/>
    </row>
    <row r="1026" spans="1:1">
      <c r="A1026" s="35"/>
    </row>
    <row r="1027" spans="1:1">
      <c r="A1027" s="35"/>
    </row>
    <row r="1028" spans="1:1">
      <c r="A1028" s="35"/>
    </row>
    <row r="1029" spans="1:1">
      <c r="A1029" s="35"/>
    </row>
    <row r="1030" spans="1:1">
      <c r="A1030" s="35"/>
    </row>
    <row r="1031" spans="1:1">
      <c r="A1031" s="35"/>
    </row>
    <row r="1032" spans="1:1">
      <c r="A1032" s="35"/>
    </row>
    <row r="1033" spans="1:1">
      <c r="A1033" s="35"/>
    </row>
    <row r="1034" spans="1:1">
      <c r="A1034" s="35"/>
    </row>
    <row r="1035" spans="1:1">
      <c r="A1035" s="35"/>
    </row>
    <row r="1036" spans="1:1">
      <c r="A1036" s="35"/>
    </row>
    <row r="1037" spans="1:1">
      <c r="A1037" s="35"/>
    </row>
    <row r="1038" spans="1:1">
      <c r="A1038" s="35"/>
    </row>
    <row r="1039" spans="1:1">
      <c r="A1039" s="35"/>
    </row>
    <row r="1040" spans="1:1">
      <c r="A1040" s="35"/>
    </row>
    <row r="1041" spans="1:1">
      <c r="A1041" s="35"/>
    </row>
    <row r="1042" spans="1:1">
      <c r="A1042" s="35"/>
    </row>
    <row r="1043" spans="1:1">
      <c r="A1043" s="35"/>
    </row>
    <row r="1044" spans="1:1">
      <c r="A1044" s="35"/>
    </row>
    <row r="1045" spans="1:1">
      <c r="A1045" s="35"/>
    </row>
    <row r="1046" spans="1:1">
      <c r="A1046" s="35"/>
    </row>
    <row r="1047" spans="1:1">
      <c r="A1047" s="35"/>
    </row>
    <row r="1048" spans="1:1">
      <c r="A1048" s="35"/>
    </row>
    <row r="1049" spans="1:1">
      <c r="A1049" s="35"/>
    </row>
    <row r="1050" spans="1:1">
      <c r="A1050" s="35"/>
    </row>
    <row r="1051" spans="1:1">
      <c r="A1051" s="35"/>
    </row>
    <row r="1052" spans="1:1">
      <c r="A1052" s="35"/>
    </row>
    <row r="1053" spans="1:1">
      <c r="A1053" s="35"/>
    </row>
    <row r="1054" spans="1:1">
      <c r="A1054" s="35"/>
    </row>
    <row r="1055" spans="1:1">
      <c r="A1055" s="35"/>
    </row>
    <row r="1056" spans="1:1">
      <c r="A1056" s="35"/>
    </row>
    <row r="1057" spans="1:1">
      <c r="A1057" s="35"/>
    </row>
    <row r="1058" spans="1:1">
      <c r="A1058" s="35"/>
    </row>
    <row r="1059" spans="1:1">
      <c r="A1059" s="35"/>
    </row>
    <row r="1060" spans="1:1">
      <c r="A1060" s="35"/>
    </row>
    <row r="1061" spans="1:1">
      <c r="A1061" s="35"/>
    </row>
    <row r="1062" spans="1:1">
      <c r="A1062" s="35"/>
    </row>
    <row r="1063" spans="1:1">
      <c r="A1063" s="35"/>
    </row>
    <row r="1064" spans="1:1">
      <c r="A1064" s="35"/>
    </row>
    <row r="1065" spans="1:1">
      <c r="A1065" s="35"/>
    </row>
    <row r="1066" spans="1:1">
      <c r="A1066" s="35"/>
    </row>
    <row r="1067" spans="1:1">
      <c r="A1067" s="35"/>
    </row>
    <row r="1068" spans="1:1">
      <c r="A1068" s="35"/>
    </row>
    <row r="1069" spans="1:1">
      <c r="A1069" s="35"/>
    </row>
    <row r="1070" spans="1:1">
      <c r="A1070" s="35"/>
    </row>
    <row r="1071" spans="1:1">
      <c r="A1071" s="35"/>
    </row>
    <row r="1072" spans="1:1">
      <c r="A1072" s="35"/>
    </row>
    <row r="1073" spans="1:1">
      <c r="A1073" s="35"/>
    </row>
    <row r="1074" spans="1:1">
      <c r="A1074" s="35"/>
    </row>
    <row r="1075" spans="1:1">
      <c r="A1075" s="35"/>
    </row>
    <row r="1076" spans="1:1">
      <c r="A1076" s="35"/>
    </row>
    <row r="1077" spans="1:1">
      <c r="A1077" s="35"/>
    </row>
    <row r="1078" spans="1:1">
      <c r="A1078" s="35"/>
    </row>
    <row r="1079" spans="1:1">
      <c r="A1079" s="35"/>
    </row>
    <row r="1080" spans="1:1">
      <c r="A1080" s="35"/>
    </row>
    <row r="1081" spans="1:1">
      <c r="A1081" s="35"/>
    </row>
    <row r="1082" spans="1:1">
      <c r="A1082" s="35"/>
    </row>
    <row r="1083" spans="1:1">
      <c r="A1083" s="35"/>
    </row>
    <row r="1084" spans="1:1">
      <c r="A1084" s="35"/>
    </row>
    <row r="1085" spans="1:1">
      <c r="A1085" s="35"/>
    </row>
    <row r="1086" spans="1:1">
      <c r="A1086" s="35"/>
    </row>
    <row r="1087" spans="1:1">
      <c r="A1087" s="35"/>
    </row>
    <row r="1088" spans="1:1">
      <c r="A1088" s="35"/>
    </row>
    <row r="1089" spans="1:1">
      <c r="A1089" s="35"/>
    </row>
    <row r="1090" spans="1:1">
      <c r="A1090" s="35"/>
    </row>
    <row r="1091" spans="1:1">
      <c r="A1091" s="35"/>
    </row>
    <row r="1092" spans="1:1">
      <c r="A1092" s="35"/>
    </row>
    <row r="1093" spans="1:1">
      <c r="A1093" s="35"/>
    </row>
    <row r="1094" spans="1:1">
      <c r="A1094" s="35"/>
    </row>
    <row r="1095" spans="1:1">
      <c r="A1095" s="35"/>
    </row>
    <row r="1096" spans="1:1">
      <c r="A1096" s="35"/>
    </row>
    <row r="1097" spans="1:1">
      <c r="A1097" s="35"/>
    </row>
    <row r="1098" spans="1:1">
      <c r="A1098" s="35"/>
    </row>
    <row r="1099" spans="1:1">
      <c r="A1099" s="35"/>
    </row>
    <row r="1100" spans="1:1">
      <c r="A1100" s="35"/>
    </row>
    <row r="1101" spans="1:1">
      <c r="A1101" s="35"/>
    </row>
    <row r="1102" spans="1:1">
      <c r="A1102" s="35"/>
    </row>
    <row r="1103" spans="1:1">
      <c r="A1103" s="35"/>
    </row>
    <row r="1104" spans="1:1">
      <c r="A1104" s="35"/>
    </row>
    <row r="1105" spans="1:1">
      <c r="A1105" s="35"/>
    </row>
    <row r="1106" spans="1:1">
      <c r="A1106" s="35"/>
    </row>
    <row r="1107" spans="1:1">
      <c r="A1107" s="35"/>
    </row>
    <row r="1108" spans="1:1">
      <c r="A1108" s="35"/>
    </row>
    <row r="1109" spans="1:1">
      <c r="A1109" s="35"/>
    </row>
    <row r="1110" spans="1:1">
      <c r="A1110" s="35"/>
    </row>
    <row r="1111" spans="1:1">
      <c r="A1111" s="35"/>
    </row>
    <row r="1112" spans="1:1">
      <c r="A1112" s="35"/>
    </row>
    <row r="1113" spans="1:1">
      <c r="A1113" s="35"/>
    </row>
    <row r="1114" spans="1:1">
      <c r="A1114" s="35"/>
    </row>
    <row r="1115" spans="1:1">
      <c r="A1115" s="35"/>
    </row>
    <row r="1116" spans="1:1">
      <c r="A1116" s="35"/>
    </row>
    <row r="1117" spans="1:1">
      <c r="A1117" s="35"/>
    </row>
    <row r="1118" spans="1:1">
      <c r="A1118" s="35"/>
    </row>
    <row r="1119" spans="1:1">
      <c r="A1119" s="35"/>
    </row>
    <row r="1120" spans="1:1">
      <c r="A1120" s="35"/>
    </row>
    <row r="1121" spans="1:1">
      <c r="A1121" s="35"/>
    </row>
    <row r="1122" spans="1:1">
      <c r="A1122" s="35"/>
    </row>
    <row r="1123" spans="1:1">
      <c r="A1123" s="35"/>
    </row>
    <row r="1124" spans="1:1">
      <c r="A1124" s="35"/>
    </row>
    <row r="1125" spans="1:1">
      <c r="A1125" s="35"/>
    </row>
    <row r="1126" spans="1:1">
      <c r="A1126" s="35"/>
    </row>
    <row r="1127" spans="1:1">
      <c r="A1127" s="35"/>
    </row>
    <row r="1128" spans="1:1">
      <c r="A1128" s="35"/>
    </row>
    <row r="1129" spans="1:1">
      <c r="A1129" s="35"/>
    </row>
    <row r="1130" spans="1:1">
      <c r="A1130" s="35"/>
    </row>
    <row r="1131" spans="1:1">
      <c r="A1131" s="35"/>
    </row>
    <row r="1132" spans="1:1">
      <c r="A1132" s="35"/>
    </row>
    <row r="1133" spans="1:1">
      <c r="A1133" s="35"/>
    </row>
    <row r="1134" spans="1:1">
      <c r="A1134" s="35"/>
    </row>
    <row r="1135" spans="1:1">
      <c r="A1135" s="35"/>
    </row>
    <row r="1136" spans="1:1">
      <c r="A1136" s="35"/>
    </row>
    <row r="1137" spans="1:1">
      <c r="A1137" s="35"/>
    </row>
    <row r="1138" spans="1:1">
      <c r="A1138" s="35"/>
    </row>
    <row r="1139" spans="1:1">
      <c r="A1139" s="35"/>
    </row>
    <row r="1140" spans="1:1">
      <c r="A1140" s="35"/>
    </row>
    <row r="1141" spans="1:1">
      <c r="A1141" s="35"/>
    </row>
    <row r="1142" spans="1:1">
      <c r="A1142" s="35"/>
    </row>
    <row r="1143" spans="1:1">
      <c r="A1143" s="35"/>
    </row>
    <row r="1144" spans="1:1">
      <c r="A1144" s="35"/>
    </row>
    <row r="1145" spans="1:1">
      <c r="A1145" s="35"/>
    </row>
    <row r="1146" spans="1:1">
      <c r="A1146" s="35"/>
    </row>
    <row r="1147" spans="1:1">
      <c r="A1147" s="35"/>
    </row>
    <row r="1148" spans="1:1">
      <c r="A1148" s="35"/>
    </row>
    <row r="1149" spans="1:1">
      <c r="A1149" s="35"/>
    </row>
    <row r="1150" spans="1:1">
      <c r="A1150" s="35"/>
    </row>
    <row r="1151" spans="1:1">
      <c r="A1151" s="35"/>
    </row>
    <row r="1152" spans="1:1">
      <c r="A1152" s="35"/>
    </row>
    <row r="1153" spans="1:1">
      <c r="A1153" s="35"/>
    </row>
    <row r="1154" spans="1:1">
      <c r="A1154" s="35"/>
    </row>
    <row r="1155" spans="1:1">
      <c r="A1155" s="35"/>
    </row>
    <row r="1156" spans="1:1">
      <c r="A1156" s="35"/>
    </row>
    <row r="1157" spans="1:1">
      <c r="A1157" s="35"/>
    </row>
    <row r="1158" spans="1:1">
      <c r="A1158" s="35"/>
    </row>
    <row r="1159" spans="1:1">
      <c r="A1159" s="35"/>
    </row>
    <row r="1160" spans="1:1">
      <c r="A1160" s="35"/>
    </row>
    <row r="1161" spans="1:1">
      <c r="A1161" s="35"/>
    </row>
    <row r="1162" spans="1:1">
      <c r="A1162" s="35"/>
    </row>
    <row r="1163" spans="1:1">
      <c r="A1163" s="35"/>
    </row>
    <row r="1164" spans="1:1">
      <c r="A1164" s="35"/>
    </row>
    <row r="1165" spans="1:1">
      <c r="A1165" s="35"/>
    </row>
    <row r="1166" spans="1:1">
      <c r="A1166" s="35"/>
    </row>
    <row r="1167" spans="1:1">
      <c r="A1167" s="35"/>
    </row>
    <row r="1168" spans="1:1">
      <c r="A1168" s="35"/>
    </row>
    <row r="1169" spans="1:1">
      <c r="A1169" s="35"/>
    </row>
    <row r="1170" spans="1:1">
      <c r="A1170" s="35"/>
    </row>
    <row r="1171" spans="1:1">
      <c r="A1171" s="35"/>
    </row>
    <row r="1172" spans="1:1">
      <c r="A1172" s="35"/>
    </row>
    <row r="1173" spans="1:1">
      <c r="A1173" s="35"/>
    </row>
    <row r="1174" spans="1:1">
      <c r="A1174" s="35"/>
    </row>
    <row r="1175" spans="1:1">
      <c r="A1175" s="35"/>
    </row>
    <row r="1176" spans="1:1">
      <c r="A1176" s="35"/>
    </row>
    <row r="1177" spans="1:1">
      <c r="A1177" s="35"/>
    </row>
    <row r="1178" spans="1:1">
      <c r="A1178" s="35"/>
    </row>
    <row r="1179" spans="1:1">
      <c r="A1179" s="35"/>
    </row>
    <row r="1180" spans="1:1">
      <c r="A1180" s="35"/>
    </row>
    <row r="1181" spans="1:1">
      <c r="A1181" s="35"/>
    </row>
    <row r="1182" spans="1:1">
      <c r="A1182" s="35"/>
    </row>
    <row r="1183" spans="1:1">
      <c r="A1183" s="35"/>
    </row>
    <row r="1184" spans="1:1">
      <c r="A1184" s="35"/>
    </row>
    <row r="1185" spans="1:1">
      <c r="A1185" s="35"/>
    </row>
    <row r="1186" spans="1:1">
      <c r="A1186" s="35"/>
    </row>
    <row r="1187" spans="1:1">
      <c r="A1187" s="35"/>
    </row>
    <row r="1188" spans="1:1">
      <c r="A1188" s="35"/>
    </row>
    <row r="1189" spans="1:1">
      <c r="A1189" s="35"/>
    </row>
    <row r="1190" spans="1:1">
      <c r="A1190" s="35"/>
    </row>
    <row r="1191" spans="1:1">
      <c r="A1191" s="35"/>
    </row>
    <row r="1192" spans="1:1">
      <c r="A1192" s="35"/>
    </row>
    <row r="1193" spans="1:1">
      <c r="A1193" s="35"/>
    </row>
    <row r="1194" spans="1:1">
      <c r="A1194" s="35"/>
    </row>
    <row r="1195" spans="1:1">
      <c r="A1195" s="35"/>
    </row>
    <row r="1196" spans="1:1">
      <c r="A1196" s="35"/>
    </row>
    <row r="1197" spans="1:1">
      <c r="A1197" s="35"/>
    </row>
    <row r="1198" spans="1:1">
      <c r="A1198" s="35"/>
    </row>
    <row r="1199" spans="1:1">
      <c r="A1199" s="35"/>
    </row>
    <row r="1200" spans="1:1">
      <c r="A1200" s="35"/>
    </row>
    <row r="1201" spans="1:1">
      <c r="A1201" s="35"/>
    </row>
    <row r="1202" spans="1:1">
      <c r="A1202" s="35"/>
    </row>
    <row r="1203" spans="1:1">
      <c r="A1203" s="35"/>
    </row>
    <row r="1204" spans="1:1">
      <c r="A1204" s="35"/>
    </row>
    <row r="1205" spans="1:1">
      <c r="A1205" s="35"/>
    </row>
    <row r="1206" spans="1:1">
      <c r="A1206" s="35"/>
    </row>
    <row r="1207" spans="1:1">
      <c r="A1207" s="35"/>
    </row>
    <row r="1208" spans="1:1">
      <c r="A1208" s="35"/>
    </row>
    <row r="1209" spans="1:1">
      <c r="A1209" s="35"/>
    </row>
    <row r="1210" spans="1:1">
      <c r="A1210" s="35"/>
    </row>
    <row r="1211" spans="1:1">
      <c r="A1211" s="35"/>
    </row>
    <row r="1212" spans="1:1">
      <c r="A1212" s="35"/>
    </row>
    <row r="1213" spans="1:1">
      <c r="A1213" s="35"/>
    </row>
    <row r="1214" spans="1:1">
      <c r="A1214" s="35"/>
    </row>
    <row r="1215" spans="1:1">
      <c r="A1215" s="35"/>
    </row>
    <row r="1216" spans="1:1">
      <c r="A1216" s="35"/>
    </row>
    <row r="1217" spans="1:1">
      <c r="A1217" s="35"/>
    </row>
    <row r="1218" spans="1:1">
      <c r="A1218" s="35"/>
    </row>
    <row r="1219" spans="1:1">
      <c r="A1219" s="35"/>
    </row>
    <row r="1220" spans="1:1">
      <c r="A1220" s="35"/>
    </row>
    <row r="1221" spans="1:1">
      <c r="A1221" s="35"/>
    </row>
    <row r="1222" spans="1:1">
      <c r="A1222" s="35"/>
    </row>
    <row r="1223" spans="1:1">
      <c r="A1223" s="35"/>
    </row>
    <row r="1224" spans="1:1">
      <c r="A1224" s="35"/>
    </row>
    <row r="1225" spans="1:1">
      <c r="A1225" s="35"/>
    </row>
    <row r="1226" spans="1:1">
      <c r="A1226" s="35"/>
    </row>
    <row r="1227" spans="1:1">
      <c r="A1227" s="35"/>
    </row>
    <row r="1228" spans="1:1">
      <c r="A1228" s="35"/>
    </row>
    <row r="1229" spans="1:1">
      <c r="A1229" s="35"/>
    </row>
    <row r="1230" spans="1:1">
      <c r="A1230" s="35"/>
    </row>
    <row r="1231" spans="1:1">
      <c r="A1231" s="35"/>
    </row>
    <row r="1232" spans="1:1">
      <c r="A1232" s="35"/>
    </row>
    <row r="1233" spans="1:1">
      <c r="A1233" s="35"/>
    </row>
    <row r="1234" spans="1:1">
      <c r="A1234" s="35"/>
    </row>
  </sheetData>
  <phoneticPr fontId="1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Teaser</vt:lpstr>
      <vt:lpstr>Input</vt:lpstr>
      <vt:lpstr>Profit &amp; Loss</vt:lpstr>
      <vt:lpstr>Quarters</vt:lpstr>
      <vt:lpstr>Balance Sheet</vt:lpstr>
      <vt:lpstr>Cash Flow</vt:lpstr>
      <vt:lpstr>Customization</vt:lpstr>
      <vt:lpstr>Data Sheet</vt:lpstr>
      <vt:lpstr>Sheet2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Harsh Mittal</cp:lastModifiedBy>
  <cp:lastPrinted>2026-02-28T19:44:15Z</cp:lastPrinted>
  <dcterms:created xsi:type="dcterms:W3CDTF">2012-08-17T09:55:37Z</dcterms:created>
  <dcterms:modified xsi:type="dcterms:W3CDTF">2026-02-28T19:45:24Z</dcterms:modified>
</cp:coreProperties>
</file>