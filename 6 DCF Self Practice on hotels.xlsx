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2DCE2FB5-97D1-4FF6-A1B7-A84CD3E59F17}" xr6:coauthVersionLast="47" xr6:coauthVersionMax="47" xr10:uidLastSave="{00000000-0000-0000-0000-000000000000}"/>
  <bookViews>
    <workbookView xWindow="-120" yWindow="-120" windowWidth="20730" windowHeight="11760" activeTab="1" xr2:uid="{F1058F07-682E-41D9-BC79-321BBF32C8AE}"/>
  </bookViews>
  <sheets>
    <sheet name="DCF&gt;" sheetId="4" r:id="rId1"/>
    <sheet name="WACC" sheetId="1" r:id="rId2"/>
    <sheet name="Data&gt;" sheetId="2" r:id="rId3"/>
    <sheet name="Beta - Regression" sheetId="3" r:id="rId4"/>
    <sheet name="Rm" sheetId="6" r:id="rId5"/>
  </sheets>
  <definedNames>
    <definedName name="_xlnm._FilterDatabase" localSheetId="3" hidden="1">'Beta - Regression'!$B$9:$D$114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2" i="1" l="1"/>
  <c r="K41" i="1"/>
  <c r="E25" i="1"/>
  <c r="J41" i="1"/>
  <c r="K35" i="1"/>
  <c r="K34" i="1"/>
  <c r="K26" i="1"/>
  <c r="F11" i="6"/>
  <c r="E38" i="1"/>
  <c r="D38" i="1"/>
  <c r="E35" i="1"/>
  <c r="E36" i="1"/>
  <c r="E34" i="1"/>
  <c r="D36" i="1"/>
  <c r="D35" i="1"/>
  <c r="D34" i="1"/>
  <c r="C36" i="1"/>
  <c r="C35" i="1"/>
  <c r="C34" i="1"/>
  <c r="E27" i="1"/>
  <c r="I20" i="1" l="1"/>
  <c r="H20" i="1"/>
  <c r="G20" i="1"/>
  <c r="H19" i="1"/>
  <c r="I19" i="1"/>
  <c r="G19" i="1"/>
  <c r="U63" i="3"/>
  <c r="U64" i="3"/>
  <c r="U65" i="3"/>
  <c r="U66" i="3"/>
  <c r="U67" i="3"/>
  <c r="U68" i="3"/>
  <c r="U69" i="3"/>
  <c r="U70" i="3"/>
  <c r="U71" i="3"/>
  <c r="U72" i="3"/>
  <c r="U73" i="3"/>
  <c r="U74" i="3"/>
  <c r="U75" i="3"/>
  <c r="U76" i="3"/>
  <c r="U77" i="3"/>
  <c r="U78" i="3"/>
  <c r="U79" i="3"/>
  <c r="U80" i="3"/>
  <c r="U81" i="3"/>
  <c r="U82" i="3"/>
  <c r="U83" i="3"/>
  <c r="U84" i="3"/>
  <c r="U85" i="3"/>
  <c r="U86" i="3"/>
  <c r="U87" i="3"/>
  <c r="U88" i="3"/>
  <c r="U89" i="3"/>
  <c r="U90" i="3"/>
  <c r="U91" i="3"/>
  <c r="U92" i="3"/>
  <c r="U93" i="3"/>
  <c r="U94" i="3"/>
  <c r="U95" i="3"/>
  <c r="U96" i="3"/>
  <c r="U97" i="3"/>
  <c r="U98" i="3"/>
  <c r="U99" i="3"/>
  <c r="U100" i="3"/>
  <c r="U101" i="3"/>
  <c r="U102" i="3"/>
  <c r="U103" i="3"/>
  <c r="U104" i="3"/>
  <c r="U105" i="3"/>
  <c r="U106" i="3"/>
  <c r="U62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10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62" i="3"/>
  <c r="Y106" i="3"/>
  <c r="Y105" i="3"/>
  <c r="Y104" i="3"/>
  <c r="Y103" i="3"/>
  <c r="Y102" i="3"/>
  <c r="Y101" i="3"/>
  <c r="Y100" i="3"/>
  <c r="Y99" i="3"/>
  <c r="Y98" i="3"/>
  <c r="Y97" i="3"/>
  <c r="Y96" i="3"/>
  <c r="Y95" i="3"/>
  <c r="Y94" i="3"/>
  <c r="Y93" i="3"/>
  <c r="Y92" i="3"/>
  <c r="Y91" i="3"/>
  <c r="Y90" i="3"/>
  <c r="Y89" i="3"/>
  <c r="Y88" i="3"/>
  <c r="Y87" i="3"/>
  <c r="Y86" i="3"/>
  <c r="Y85" i="3"/>
  <c r="Y84" i="3"/>
  <c r="Y83" i="3"/>
  <c r="Y82" i="3"/>
  <c r="Y81" i="3"/>
  <c r="Y80" i="3"/>
  <c r="Y79" i="3"/>
  <c r="Y78" i="3"/>
  <c r="Y77" i="3"/>
  <c r="Y76" i="3"/>
  <c r="Y75" i="3"/>
  <c r="Y74" i="3"/>
  <c r="Y73" i="3"/>
  <c r="Y72" i="3"/>
  <c r="Y71" i="3"/>
  <c r="Y70" i="3"/>
  <c r="Y69" i="3"/>
  <c r="Y68" i="3"/>
  <c r="Y67" i="3"/>
  <c r="Y66" i="3"/>
  <c r="Y65" i="3"/>
  <c r="Y64" i="3"/>
  <c r="Y63" i="3"/>
  <c r="Y62" i="3"/>
  <c r="Y28" i="3"/>
  <c r="Y27" i="3"/>
  <c r="Y26" i="3"/>
  <c r="Y25" i="3"/>
  <c r="Y24" i="3"/>
  <c r="Y23" i="3"/>
  <c r="Y22" i="3"/>
  <c r="Y21" i="3"/>
  <c r="Y20" i="3"/>
  <c r="Y19" i="3"/>
  <c r="Y18" i="3"/>
  <c r="Y17" i="3"/>
  <c r="Y16" i="3"/>
  <c r="Y15" i="3"/>
  <c r="Y14" i="3"/>
  <c r="Y13" i="3"/>
  <c r="Y12" i="3"/>
  <c r="Y11" i="3"/>
  <c r="Y10" i="3"/>
  <c r="H106" i="3"/>
  <c r="H105" i="3"/>
  <c r="H104" i="3"/>
  <c r="H103" i="3"/>
  <c r="H102" i="3"/>
  <c r="H101" i="3"/>
  <c r="H100" i="3"/>
  <c r="H99" i="3"/>
  <c r="H98" i="3"/>
  <c r="H97" i="3"/>
  <c r="H96" i="3"/>
  <c r="H95" i="3"/>
  <c r="H94" i="3"/>
  <c r="H93" i="3"/>
  <c r="H92" i="3"/>
  <c r="H91" i="3"/>
  <c r="H90" i="3"/>
  <c r="H89" i="3"/>
  <c r="H88" i="3"/>
  <c r="H87" i="3"/>
  <c r="H86" i="3"/>
  <c r="H85" i="3"/>
  <c r="H84" i="3"/>
  <c r="H83" i="3"/>
  <c r="H82" i="3"/>
  <c r="H81" i="3"/>
  <c r="H80" i="3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N60" i="3" l="1"/>
  <c r="K60" i="3" s="1"/>
  <c r="K66" i="3" s="1"/>
  <c r="J15" i="1" s="1"/>
  <c r="K15" i="1" s="1"/>
  <c r="AE60" i="3"/>
  <c r="AB60" i="3" s="1"/>
  <c r="AB66" i="3" s="1"/>
  <c r="J17" i="1" s="1"/>
  <c r="K17" i="1" s="1"/>
  <c r="AE8" i="3"/>
  <c r="AB8" i="3" s="1"/>
  <c r="AB14" i="3" s="1"/>
  <c r="J16" i="1" s="1"/>
  <c r="K16" i="1" s="1"/>
  <c r="H55" i="3"/>
  <c r="D11" i="3" l="1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N7" i="3" l="1"/>
  <c r="K9" i="3" s="1"/>
  <c r="I15" i="1"/>
  <c r="I16" i="1"/>
  <c r="I17" i="1"/>
  <c r="I14" i="1"/>
  <c r="H15" i="1"/>
  <c r="H16" i="1"/>
  <c r="H17" i="1"/>
  <c r="H14" i="1"/>
  <c r="F9" i="6"/>
  <c r="N10" i="3"/>
  <c r="J14" i="1" l="1"/>
  <c r="K15" i="3"/>
  <c r="N8" i="3"/>
  <c r="K14" i="1" l="1"/>
  <c r="J20" i="1"/>
  <c r="J19" i="1"/>
  <c r="K19" i="1" l="1"/>
  <c r="K20" i="1"/>
  <c r="K33" i="1" s="1"/>
  <c r="K36" i="1" s="1"/>
  <c r="K27" i="1" s="1"/>
  <c r="K28" i="1" s="1"/>
  <c r="J42" i="1" s="1"/>
  <c r="K43" i="1" s="1"/>
</calcChain>
</file>

<file path=xl/sharedStrings.xml><?xml version="1.0" encoding="utf-8"?>
<sst xmlns="http://schemas.openxmlformats.org/spreadsheetml/2006/main" count="127" uniqueCount="75">
  <si>
    <t>Weighted Average Cost of Capital</t>
  </si>
  <si>
    <t>All figures are in INR unless stated otherwise.</t>
  </si>
  <si>
    <t>Peer Comps</t>
  </si>
  <si>
    <t>Name of the Comp</t>
  </si>
  <si>
    <t>Country</t>
  </si>
  <si>
    <t>Total Debt</t>
  </si>
  <si>
    <t>Total Equity</t>
  </si>
  <si>
    <r>
      <t xml:space="preserve">Tax Rate </t>
    </r>
    <r>
      <rPr>
        <vertAlign val="superscript"/>
        <sz val="11"/>
        <color theme="1"/>
        <rFont val="Calibri"/>
        <family val="2"/>
      </rPr>
      <t>1</t>
    </r>
  </si>
  <si>
    <t>Equity</t>
  </si>
  <si>
    <t>Capital</t>
  </si>
  <si>
    <t>Levered</t>
  </si>
  <si>
    <t>Unlevered</t>
  </si>
  <si>
    <r>
      <t xml:space="preserve">Beta </t>
    </r>
    <r>
      <rPr>
        <vertAlign val="superscript"/>
        <sz val="11"/>
        <color theme="1"/>
        <rFont val="Calibri"/>
        <family val="2"/>
      </rPr>
      <t>2</t>
    </r>
  </si>
  <si>
    <r>
      <t xml:space="preserve">Beta </t>
    </r>
    <r>
      <rPr>
        <vertAlign val="superscript"/>
        <sz val="11"/>
        <color theme="1"/>
        <rFont val="Calibri"/>
        <family val="2"/>
      </rPr>
      <t>3</t>
    </r>
  </si>
  <si>
    <t>Debt /</t>
  </si>
  <si>
    <t>Average</t>
  </si>
  <si>
    <t>Median</t>
  </si>
  <si>
    <t>Tax Rate</t>
  </si>
  <si>
    <t>Post Tax Cost of Debt</t>
  </si>
  <si>
    <t>Pre - Tax Cost of Debt</t>
  </si>
  <si>
    <t>Cost of Equity</t>
  </si>
  <si>
    <t>Cost of Debt</t>
  </si>
  <si>
    <t>Risk Free Rate</t>
  </si>
  <si>
    <t>Equity Risk Premium</t>
  </si>
  <si>
    <t>Levered Beta</t>
  </si>
  <si>
    <r>
      <t xml:space="preserve">Levered Beta </t>
    </r>
    <r>
      <rPr>
        <vertAlign val="superscript"/>
        <sz val="11"/>
        <color theme="1"/>
        <rFont val="Calibri"/>
        <family val="2"/>
      </rPr>
      <t>4</t>
    </r>
  </si>
  <si>
    <t>Capital Structure</t>
  </si>
  <si>
    <t xml:space="preserve">Current </t>
  </si>
  <si>
    <t>Target</t>
  </si>
  <si>
    <t>Market Capitalization</t>
  </si>
  <si>
    <t>Total Capital</t>
  </si>
  <si>
    <t>Comps Median Unlivered Beta</t>
  </si>
  <si>
    <t>Target Debt / Equity</t>
  </si>
  <si>
    <t>Debt / Equity</t>
  </si>
  <si>
    <t>Debt</t>
  </si>
  <si>
    <t>Total Cost</t>
  </si>
  <si>
    <t>Total Weight</t>
  </si>
  <si>
    <t>Notes:</t>
  </si>
  <si>
    <t>1. Tax Rate Considered as Marginal Tax Rate for the country</t>
  </si>
  <si>
    <t>2. Levered beta is based on 5 year monthly data</t>
  </si>
  <si>
    <t>3. Unlevered beta = Levered beta/(1+(1-Tax Rate)*Debt/Equity)</t>
  </si>
  <si>
    <t>4. Unlevered beta = Levered beta*(1+(1-Tax Rate)*Debt/Equity)</t>
  </si>
  <si>
    <t>Da</t>
  </si>
  <si>
    <t>Date</t>
  </si>
  <si>
    <t>Closing Price</t>
  </si>
  <si>
    <t xml:space="preserve"> Return</t>
  </si>
  <si>
    <t>Nifty Returns</t>
  </si>
  <si>
    <t xml:space="preserve">Beta 1 </t>
  </si>
  <si>
    <t>Beta 2</t>
  </si>
  <si>
    <t>Beta 3</t>
  </si>
  <si>
    <t>(Slope)</t>
  </si>
  <si>
    <t>(Covariance)</t>
  </si>
  <si>
    <t>Beta Drifting</t>
  </si>
  <si>
    <t>Levered Raw Beta</t>
  </si>
  <si>
    <t>Raw Beta Weight</t>
  </si>
  <si>
    <t>Market Beta Weight</t>
  </si>
  <si>
    <t>Market Beta</t>
  </si>
  <si>
    <t>Adjusted Beta</t>
  </si>
  <si>
    <t>Year</t>
  </si>
  <si>
    <t>Annual</t>
  </si>
  <si>
    <t>Return on Markets</t>
  </si>
  <si>
    <t>Average Return</t>
  </si>
  <si>
    <t>Dividend Yield</t>
  </si>
  <si>
    <t>Total Market Return</t>
  </si>
  <si>
    <t>Interest/debt</t>
  </si>
  <si>
    <t>Indian Hotels Co</t>
  </si>
  <si>
    <t>ITC Hotels</t>
  </si>
  <si>
    <t>EIH</t>
  </si>
  <si>
    <t>Chalet Hotels</t>
  </si>
  <si>
    <t xml:space="preserve">India </t>
  </si>
  <si>
    <t>The Indian Hotels Company Monthly Returns</t>
  </si>
  <si>
    <t>Regression Beta - 5 Years Monthly</t>
  </si>
  <si>
    <t>ITC Hotels Monthly Returns</t>
  </si>
  <si>
    <t>EIH Monthly Returns</t>
  </si>
  <si>
    <t xml:space="preserve"> Hotels Monthly Returns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</si>
</sst>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7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i/>
      <sz val="10"/>
      <color theme="1"/>
      <name val="Calibri"/>
      <family val="2"/>
    </font>
    <font>
      <vertAlign val="superscript"/>
      <sz val="11"/>
      <color theme="1"/>
      <name val="Calibri"/>
      <family val="2"/>
    </font>
    <font>
      <sz val="11"/>
      <color rgb="FF0000FF"/>
      <name val="Calibri"/>
      <family val="2"/>
    </font>
    <font>
      <i/>
      <sz val="9"/>
      <color theme="1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i/>
      <sz val="11"/>
      <color theme="1"/>
      <name val="calibri"/>
      <family val="2"/>
    </font>
    <font>
      <u/>
      <sz val="11"/>
      <color theme="10"/>
      <name val="Calibri"/>
      <family val="2"/>
    </font>
    <font>
      <sz val="11"/>
      <color theme="10"/>
      <name val="Calibri"/>
      <family val="2"/>
    </font>
    <font>
      <sz val="11"/>
      <color rgb="FF0000FF"/>
      <name val="Arial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8F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49998474074526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hair">
        <color auto="1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1" fillId="0" borderId="0" applyNumberFormat="0" applyFill="0" applyBorder="0" applyAlignment="0" applyProtection="0"/>
  </cellStyleXfs>
  <cellXfs count="67">
    <xf numFmtId="0" fontId="0" fillId="0" borderId="0" xfId="0"/>
    <xf numFmtId="0" fontId="2" fillId="0" borderId="0" xfId="0" applyFont="1"/>
    <xf numFmtId="9" fontId="4" fillId="0" borderId="0" xfId="1" applyFont="1"/>
    <xf numFmtId="0" fontId="0" fillId="0" borderId="1" xfId="0" applyBorder="1"/>
    <xf numFmtId="0" fontId="0" fillId="0" borderId="2" xfId="0" applyBorder="1"/>
    <xf numFmtId="10" fontId="0" fillId="0" borderId="0" xfId="0" applyNumberFormat="1"/>
    <xf numFmtId="0" fontId="6" fillId="0" borderId="0" xfId="0" applyFont="1"/>
    <xf numFmtId="10" fontId="0" fillId="0" borderId="0" xfId="1" applyNumberFormat="1" applyFont="1"/>
    <xf numFmtId="10" fontId="0" fillId="2" borderId="0" xfId="1" applyNumberFormat="1" applyFont="1" applyFill="1"/>
    <xf numFmtId="2" fontId="0" fillId="2" borderId="0" xfId="1" applyNumberFormat="1" applyFont="1" applyFill="1"/>
    <xf numFmtId="0" fontId="2" fillId="0" borderId="1" xfId="0" applyFont="1" applyBorder="1"/>
    <xf numFmtId="0" fontId="2" fillId="0" borderId="2" xfId="0" applyFont="1" applyBorder="1"/>
    <xf numFmtId="10" fontId="0" fillId="0" borderId="1" xfId="0" applyNumberFormat="1" applyBorder="1"/>
    <xf numFmtId="10" fontId="0" fillId="0" borderId="2" xfId="0" applyNumberFormat="1" applyBorder="1"/>
    <xf numFmtId="9" fontId="0" fillId="0" borderId="0" xfId="0" applyNumberFormat="1"/>
    <xf numFmtId="0" fontId="0" fillId="0" borderId="3" xfId="0" applyBorder="1"/>
    <xf numFmtId="10" fontId="0" fillId="0" borderId="3" xfId="0" applyNumberFormat="1" applyBorder="1"/>
    <xf numFmtId="0" fontId="2" fillId="0" borderId="2" xfId="0" applyFont="1" applyBorder="1" applyAlignment="1">
      <alignment horizontal="right"/>
    </xf>
    <xf numFmtId="10" fontId="6" fillId="0" borderId="0" xfId="0" applyNumberFormat="1" applyFont="1"/>
    <xf numFmtId="10" fontId="0" fillId="0" borderId="3" xfId="1" applyNumberFormat="1" applyFont="1" applyBorder="1"/>
    <xf numFmtId="10" fontId="0" fillId="2" borderId="0" xfId="0" applyNumberFormat="1" applyFill="1"/>
    <xf numFmtId="2" fontId="0" fillId="0" borderId="0" xfId="0" applyNumberFormat="1"/>
    <xf numFmtId="10" fontId="0" fillId="2" borderId="3" xfId="0" applyNumberFormat="1" applyFill="1" applyBorder="1"/>
    <xf numFmtId="2" fontId="0" fillId="2" borderId="3" xfId="0" applyNumberFormat="1" applyFill="1" applyBorder="1"/>
    <xf numFmtId="164" fontId="6" fillId="0" borderId="0" xfId="0" applyNumberFormat="1" applyFont="1"/>
    <xf numFmtId="164" fontId="0" fillId="0" borderId="3" xfId="0" applyNumberFormat="1" applyBorder="1"/>
    <xf numFmtId="0" fontId="7" fillId="0" borderId="0" xfId="0" applyFont="1"/>
    <xf numFmtId="0" fontId="7" fillId="0" borderId="0" xfId="0" applyFont="1" applyAlignment="1">
      <alignment vertical="top"/>
    </xf>
    <xf numFmtId="0" fontId="0" fillId="0" borderId="0" xfId="0" applyAlignment="1">
      <alignment horizontal="left"/>
    </xf>
    <xf numFmtId="2" fontId="6" fillId="0" borderId="0" xfId="0" applyNumberFormat="1" applyFont="1"/>
    <xf numFmtId="0" fontId="2" fillId="0" borderId="3" xfId="0" applyFont="1" applyBorder="1"/>
    <xf numFmtId="10" fontId="2" fillId="0" borderId="3" xfId="1" applyNumberFormat="1" applyFont="1" applyBorder="1"/>
    <xf numFmtId="0" fontId="12" fillId="0" borderId="0" xfId="2" applyFont="1"/>
    <xf numFmtId="0" fontId="12" fillId="0" borderId="0" xfId="2" applyFont="1" applyBorder="1" applyAlignment="1">
      <alignment horizontal="left"/>
    </xf>
    <xf numFmtId="164" fontId="13" fillId="4" borderId="0" xfId="0" applyNumberFormat="1" applyFont="1" applyFill="1" applyAlignment="1">
      <alignment vertical="center" wrapText="1"/>
    </xf>
    <xf numFmtId="164" fontId="13" fillId="0" borderId="0" xfId="0" applyNumberFormat="1" applyFont="1"/>
    <xf numFmtId="164" fontId="13" fillId="3" borderId="0" xfId="0" applyNumberFormat="1" applyFont="1" applyFill="1" applyAlignment="1">
      <alignment vertical="center" wrapText="1"/>
    </xf>
    <xf numFmtId="10" fontId="13" fillId="4" borderId="0" xfId="0" applyNumberFormat="1" applyFont="1" applyFill="1" applyAlignment="1">
      <alignment horizontal="right" vertical="center" wrapText="1" indent="1"/>
    </xf>
    <xf numFmtId="0" fontId="8" fillId="0" borderId="0" xfId="0" applyFont="1" applyAlignment="1">
      <alignment horizontal="center"/>
    </xf>
    <xf numFmtId="2" fontId="0" fillId="0" borderId="1" xfId="0" applyNumberFormat="1" applyBorder="1"/>
    <xf numFmtId="2" fontId="0" fillId="0" borderId="2" xfId="0" applyNumberFormat="1" applyBorder="1"/>
    <xf numFmtId="0" fontId="3" fillId="5" borderId="0" xfId="0" applyFont="1" applyFill="1"/>
    <xf numFmtId="0" fontId="0" fillId="5" borderId="0" xfId="0" applyFill="1"/>
    <xf numFmtId="0" fontId="2" fillId="0" borderId="0" xfId="0" applyFont="1" applyAlignment="1">
      <alignment horizontal="right"/>
    </xf>
    <xf numFmtId="0" fontId="8" fillId="0" borderId="0" xfId="0" applyFont="1"/>
    <xf numFmtId="2" fontId="0" fillId="0" borderId="0" xfId="1" applyNumberFormat="1" applyFont="1" applyBorder="1"/>
    <xf numFmtId="0" fontId="9" fillId="0" borderId="0" xfId="0" applyFont="1"/>
    <xf numFmtId="0" fontId="2" fillId="0" borderId="0" xfId="0" applyFont="1" applyAlignment="1">
      <alignment wrapText="1"/>
    </xf>
    <xf numFmtId="17" fontId="15" fillId="0" borderId="0" xfId="0" applyNumberFormat="1" applyFont="1" applyAlignment="1">
      <alignment horizontal="right" vertical="center" wrapText="1" indent="1" readingOrder="1"/>
    </xf>
    <xf numFmtId="0" fontId="14" fillId="0" borderId="0" xfId="0" applyFont="1" applyAlignment="1">
      <alignment horizontal="right" vertical="center" wrapText="1" indent="1" readingOrder="1"/>
    </xf>
    <xf numFmtId="10" fontId="0" fillId="0" borderId="0" xfId="1" applyNumberFormat="1" applyFont="1" applyBorder="1"/>
    <xf numFmtId="4" fontId="14" fillId="0" borderId="0" xfId="0" applyNumberFormat="1" applyFont="1" applyAlignment="1">
      <alignment horizontal="left" vertical="center" wrapText="1" indent="1" readingOrder="1"/>
    </xf>
    <xf numFmtId="17" fontId="14" fillId="0" borderId="0" xfId="0" applyNumberFormat="1" applyFont="1" applyAlignment="1">
      <alignment horizontal="left" vertical="center" wrapText="1" indent="1" readingOrder="1"/>
    </xf>
    <xf numFmtId="0" fontId="14" fillId="0" borderId="0" xfId="0" applyFont="1" applyAlignment="1">
      <alignment horizontal="left" vertical="center" wrapText="1" indent="1" readingOrder="1"/>
    </xf>
    <xf numFmtId="1" fontId="0" fillId="0" borderId="0" xfId="0" applyNumberFormat="1"/>
    <xf numFmtId="0" fontId="10" fillId="0" borderId="0" xfId="0" applyFont="1" applyAlignment="1">
      <alignment horizontal="centerContinuous"/>
    </xf>
    <xf numFmtId="0" fontId="0" fillId="2" borderId="0" xfId="0" applyFill="1"/>
    <xf numFmtId="2" fontId="0" fillId="2" borderId="0" xfId="0" applyNumberFormat="1" applyFill="1"/>
    <xf numFmtId="0" fontId="10" fillId="0" borderId="0" xfId="0" applyFont="1" applyAlignment="1">
      <alignment horizontal="center"/>
    </xf>
    <xf numFmtId="17" fontId="15" fillId="0" borderId="0" xfId="0" applyNumberFormat="1" applyFont="1" applyAlignment="1">
      <alignment horizontal="left" vertical="center" wrapText="1" indent="1" readingOrder="1"/>
    </xf>
    <xf numFmtId="0" fontId="8" fillId="6" borderId="0" xfId="0" applyFont="1" applyFill="1"/>
    <xf numFmtId="17" fontId="16" fillId="0" borderId="0" xfId="0" applyNumberFormat="1" applyFont="1" applyAlignment="1">
      <alignment horizontal="right" wrapText="1"/>
    </xf>
    <xf numFmtId="0" fontId="16" fillId="0" borderId="0" xfId="0" applyFont="1" applyAlignment="1">
      <alignment horizontal="right" wrapText="1"/>
    </xf>
    <xf numFmtId="17" fontId="14" fillId="0" borderId="0" xfId="0" applyNumberFormat="1" applyFont="1" applyAlignment="1">
      <alignment vertical="center" readingOrder="1"/>
    </xf>
    <xf numFmtId="165" fontId="0" fillId="0" borderId="0" xfId="0" applyNumberFormat="1"/>
    <xf numFmtId="0" fontId="8" fillId="6" borderId="0" xfId="0" applyFont="1" applyFill="1" applyAlignment="1">
      <alignment horizontal="center"/>
    </xf>
    <xf numFmtId="0" fontId="8" fillId="0" borderId="0" xfId="0" applyFont="1" applyAlignment="1">
      <alignment horizontal="center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creener.in/company/CHALET/consolidated/" TargetMode="External"/><Relationship Id="rId2" Type="http://schemas.openxmlformats.org/officeDocument/2006/relationships/hyperlink" Target="https://www.screener.in/company/EIHOTEL/consolidated/" TargetMode="External"/><Relationship Id="rId1" Type="http://schemas.openxmlformats.org/officeDocument/2006/relationships/hyperlink" Target="https://www.screener.in/company/ITCHOTELS/consolidated/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18554-AA4A-4B19-AD35-C5FAF440B924}">
  <sheetPr>
    <tabColor rgb="FF002060"/>
  </sheetPr>
  <dimension ref="A1"/>
  <sheetViews>
    <sheetView workbookViewId="0">
      <selection activeCell="H20" sqref="H20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DD5AB-03DF-45B6-8507-909C15B272FA}">
  <sheetPr>
    <pageSetUpPr fitToPage="1"/>
  </sheetPr>
  <dimension ref="B6:L44"/>
  <sheetViews>
    <sheetView showGridLines="0" tabSelected="1" topLeftCell="A5" zoomScale="105" workbookViewId="0">
      <selection activeCell="D16" sqref="D16"/>
    </sheetView>
  </sheetViews>
  <sheetFormatPr defaultRowHeight="15" x14ac:dyDescent="0.25"/>
  <cols>
    <col min="1" max="1" width="2.28515625" customWidth="1"/>
    <col min="2" max="2" width="40.28515625" bestFit="1" customWidth="1"/>
    <col min="3" max="3" width="9.140625" bestFit="1" customWidth="1"/>
    <col min="4" max="4" width="10.28515625" bestFit="1" customWidth="1"/>
    <col min="5" max="6" width="11.42578125" bestFit="1" customWidth="1"/>
    <col min="7" max="7" width="15.28515625" customWidth="1"/>
    <col min="8" max="8" width="10.7109375" customWidth="1"/>
    <col min="9" max="9" width="8.140625" bestFit="1" customWidth="1"/>
    <col min="10" max="10" width="10.28515625" bestFit="1" customWidth="1"/>
    <col min="11" max="11" width="10" bestFit="1" customWidth="1"/>
    <col min="12" max="12" width="21.85546875" bestFit="1" customWidth="1"/>
  </cols>
  <sheetData>
    <row r="6" spans="2:11" ht="18.75" x14ac:dyDescent="0.3">
      <c r="B6" s="41" t="s">
        <v>0</v>
      </c>
      <c r="C6" s="42"/>
      <c r="D6" s="42"/>
      <c r="E6" s="42"/>
      <c r="F6" s="42"/>
      <c r="G6" s="42"/>
      <c r="H6" s="42"/>
      <c r="I6" s="42"/>
      <c r="J6" s="42"/>
      <c r="K6" s="42"/>
    </row>
    <row r="8" spans="2:11" x14ac:dyDescent="0.25">
      <c r="B8" s="2" t="s">
        <v>1</v>
      </c>
    </row>
    <row r="10" spans="2:11" x14ac:dyDescent="0.25">
      <c r="B10" s="1" t="s">
        <v>2</v>
      </c>
    </row>
    <row r="11" spans="2:11" x14ac:dyDescent="0.25">
      <c r="B11" s="3"/>
      <c r="C11" s="3"/>
      <c r="D11" s="3"/>
      <c r="E11" s="3"/>
      <c r="F11" s="3"/>
      <c r="G11" s="3"/>
      <c r="H11" s="3" t="s">
        <v>14</v>
      </c>
      <c r="I11" s="3" t="s">
        <v>14</v>
      </c>
      <c r="J11" s="3" t="s">
        <v>10</v>
      </c>
      <c r="K11" s="3" t="s">
        <v>11</v>
      </c>
    </row>
    <row r="12" spans="2:11" ht="17.25" x14ac:dyDescent="0.25">
      <c r="B12" s="4" t="s">
        <v>3</v>
      </c>
      <c r="C12" s="4"/>
      <c r="D12" s="4" t="s">
        <v>4</v>
      </c>
      <c r="E12" s="4" t="s">
        <v>5</v>
      </c>
      <c r="F12" s="4" t="s">
        <v>6</v>
      </c>
      <c r="G12" s="4" t="s">
        <v>7</v>
      </c>
      <c r="H12" s="4" t="s">
        <v>8</v>
      </c>
      <c r="I12" s="4" t="s">
        <v>9</v>
      </c>
      <c r="J12" s="4" t="s">
        <v>12</v>
      </c>
      <c r="K12" s="4" t="s">
        <v>13</v>
      </c>
    </row>
    <row r="14" spans="2:11" x14ac:dyDescent="0.25">
      <c r="B14" s="33" t="s">
        <v>65</v>
      </c>
      <c r="C14" s="6"/>
      <c r="D14" s="6" t="s">
        <v>69</v>
      </c>
      <c r="E14" s="34">
        <v>3225.99</v>
      </c>
      <c r="F14" s="34">
        <v>95960.68</v>
      </c>
      <c r="G14" s="37">
        <v>0.3</v>
      </c>
      <c r="H14" s="8">
        <f>E14/F14</f>
        <v>3.3617831803609562E-2</v>
      </c>
      <c r="I14" s="8">
        <f>E14/(F14+E14)</f>
        <v>3.2524430954280446E-2</v>
      </c>
      <c r="J14" s="29">
        <f>'Beta - Regression'!K9</f>
        <v>-3.3561546696465792E-2</v>
      </c>
      <c r="K14" s="9">
        <f>J14/1+(1-G14)*H14</f>
        <v>-1.0029064433939101E-2</v>
      </c>
    </row>
    <row r="15" spans="2:11" x14ac:dyDescent="0.25">
      <c r="B15" s="33" t="s">
        <v>66</v>
      </c>
      <c r="C15" s="6"/>
      <c r="D15" s="6" t="s">
        <v>69</v>
      </c>
      <c r="E15" s="35">
        <v>80.23</v>
      </c>
      <c r="F15" s="35">
        <v>37650.19</v>
      </c>
      <c r="G15" s="37">
        <v>0.3</v>
      </c>
      <c r="H15" s="8">
        <f t="shared" ref="H15:H17" si="0">E15/F15</f>
        <v>2.1309321413783039E-3</v>
      </c>
      <c r="I15" s="8">
        <f t="shared" ref="I15:I17" si="1">E15/(F15+E15)</f>
        <v>2.1264009253011227E-3</v>
      </c>
      <c r="J15" s="29">
        <f>'Beta - Regression'!K66</f>
        <v>-0.22109798716419338</v>
      </c>
      <c r="K15" s="9">
        <f t="shared" ref="K15:K17" si="2">J15/1+(1-G15)*H15</f>
        <v>-0.21960633466522855</v>
      </c>
    </row>
    <row r="16" spans="2:11" x14ac:dyDescent="0.25">
      <c r="B16" s="33" t="s">
        <v>67</v>
      </c>
      <c r="C16" s="6"/>
      <c r="D16" s="6" t="s">
        <v>69</v>
      </c>
      <c r="E16" s="34">
        <v>250.08</v>
      </c>
      <c r="F16" s="35">
        <v>19670.830000000002</v>
      </c>
      <c r="G16" s="37">
        <v>0.3</v>
      </c>
      <c r="H16" s="8">
        <f t="shared" si="0"/>
        <v>1.2713240874940203E-2</v>
      </c>
      <c r="I16" s="8">
        <f t="shared" si="1"/>
        <v>1.2553643382757112E-2</v>
      </c>
      <c r="J16" s="29">
        <f>'Beta - Regression'!AB14</f>
        <v>0.2122494653226849</v>
      </c>
      <c r="K16" s="9">
        <f t="shared" si="2"/>
        <v>0.22114873393514306</v>
      </c>
    </row>
    <row r="17" spans="2:12" x14ac:dyDescent="0.25">
      <c r="B17" s="32" t="s">
        <v>68</v>
      </c>
      <c r="C17" s="6"/>
      <c r="D17" s="6" t="s">
        <v>69</v>
      </c>
      <c r="E17" s="36">
        <v>2488.5100000000002</v>
      </c>
      <c r="F17" s="36">
        <v>19075.259999999998</v>
      </c>
      <c r="G17" s="37">
        <v>0.3</v>
      </c>
      <c r="H17" s="8">
        <f t="shared" si="0"/>
        <v>0.13045746165452007</v>
      </c>
      <c r="I17" s="8">
        <f t="shared" si="1"/>
        <v>0.11540236238839501</v>
      </c>
      <c r="J17" s="29">
        <f>'Beta - Regression'!AB66</f>
        <v>0.26385767055630238</v>
      </c>
      <c r="K17" s="9">
        <f t="shared" si="2"/>
        <v>0.3551778937144664</v>
      </c>
    </row>
    <row r="19" spans="2:12" x14ac:dyDescent="0.25">
      <c r="F19" s="10" t="s">
        <v>15</v>
      </c>
      <c r="G19" s="12">
        <f>AVERAGE(G14:G17)</f>
        <v>0.3</v>
      </c>
      <c r="H19" s="12">
        <f>AVERAGE(H14:H17)</f>
        <v>4.4729866618612037E-2</v>
      </c>
      <c r="I19" s="12">
        <f t="shared" ref="I19:K19" si="3">AVERAGE(I14:I17)</f>
        <v>4.0651709412683423E-2</v>
      </c>
      <c r="J19" s="39">
        <f t="shared" si="3"/>
        <v>5.5361900504582034E-2</v>
      </c>
      <c r="K19" s="39">
        <f t="shared" si="3"/>
        <v>8.6672807137610441E-2</v>
      </c>
      <c r="L19" s="12"/>
    </row>
    <row r="20" spans="2:12" x14ac:dyDescent="0.25">
      <c r="F20" s="11" t="s">
        <v>16</v>
      </c>
      <c r="G20" s="13">
        <f>MEDIAN(G14:G17)</f>
        <v>0.3</v>
      </c>
      <c r="H20" s="13">
        <f>MEDIAN(H14:H17)</f>
        <v>2.3165536339274879E-2</v>
      </c>
      <c r="I20" s="13">
        <f>MEDIAN(I14:I17)</f>
        <v>2.253903716851878E-2</v>
      </c>
      <c r="J20" s="40">
        <f t="shared" ref="J20:K20" si="4">MEDIAN(J14:J17)</f>
        <v>8.9343959313109567E-2</v>
      </c>
      <c r="K20" s="40">
        <f t="shared" si="4"/>
        <v>0.10555983475060199</v>
      </c>
    </row>
    <row r="23" spans="2:12" x14ac:dyDescent="0.25">
      <c r="B23" s="11" t="s">
        <v>21</v>
      </c>
      <c r="C23" s="4"/>
      <c r="D23" s="4"/>
      <c r="E23" s="4"/>
      <c r="G23" s="11" t="s">
        <v>20</v>
      </c>
      <c r="H23" s="4"/>
      <c r="I23" s="4"/>
      <c r="J23" s="4"/>
      <c r="K23" s="4"/>
    </row>
    <row r="25" spans="2:12" x14ac:dyDescent="0.25">
      <c r="B25" t="s">
        <v>19</v>
      </c>
      <c r="C25" s="26" t="s">
        <v>64</v>
      </c>
      <c r="E25" s="18">
        <f>56/E14</f>
        <v>1.7359012272201713E-2</v>
      </c>
      <c r="G25" t="s">
        <v>22</v>
      </c>
      <c r="K25" s="18">
        <v>6.7000000000000004E-2</v>
      </c>
    </row>
    <row r="26" spans="2:12" x14ac:dyDescent="0.25">
      <c r="B26" t="s">
        <v>17</v>
      </c>
      <c r="E26" s="18">
        <v>0.3</v>
      </c>
      <c r="G26" t="s">
        <v>23</v>
      </c>
      <c r="K26" s="18">
        <f>Rm!F11-WACC!K25</f>
        <v>9.8392307692307696E-2</v>
      </c>
    </row>
    <row r="27" spans="2:12" ht="17.25" x14ac:dyDescent="0.25">
      <c r="B27" s="15" t="s">
        <v>18</v>
      </c>
      <c r="C27" s="15"/>
      <c r="D27" s="15"/>
      <c r="E27" s="16">
        <f>E25*(1-E26)</f>
        <v>1.2151308590541199E-2</v>
      </c>
      <c r="G27" t="s">
        <v>25</v>
      </c>
      <c r="K27" s="21">
        <f>K36</f>
        <v>0.135885878038395</v>
      </c>
    </row>
    <row r="28" spans="2:12" x14ac:dyDescent="0.25">
      <c r="G28" s="15" t="s">
        <v>20</v>
      </c>
      <c r="H28" s="15"/>
      <c r="I28" s="15"/>
      <c r="J28" s="15"/>
      <c r="K28" s="22">
        <f>K25+(K26*K27)</f>
        <v>8.0370125122993158E-2</v>
      </c>
    </row>
    <row r="31" spans="2:12" x14ac:dyDescent="0.25">
      <c r="B31" s="11" t="s">
        <v>26</v>
      </c>
      <c r="C31" s="11"/>
      <c r="D31" s="11"/>
      <c r="E31" s="4"/>
      <c r="G31" s="11" t="s">
        <v>24</v>
      </c>
      <c r="H31" s="11"/>
      <c r="I31" s="11"/>
      <c r="J31" s="4"/>
      <c r="K31" s="4"/>
    </row>
    <row r="33" spans="2:11" x14ac:dyDescent="0.25">
      <c r="D33" s="17" t="s">
        <v>27</v>
      </c>
      <c r="E33" s="17" t="s">
        <v>28</v>
      </c>
      <c r="G33" t="s">
        <v>31</v>
      </c>
      <c r="K33" s="21">
        <f>K20</f>
        <v>0.10555983475060199</v>
      </c>
    </row>
    <row r="34" spans="2:11" x14ac:dyDescent="0.25">
      <c r="B34" t="s">
        <v>5</v>
      </c>
      <c r="C34" s="24">
        <f>E14</f>
        <v>3225.99</v>
      </c>
      <c r="D34" s="7">
        <f>C34/$C$36</f>
        <v>3.2524430954280446E-2</v>
      </c>
      <c r="E34" s="18">
        <f>I19</f>
        <v>4.0651709412683423E-2</v>
      </c>
      <c r="G34" t="s">
        <v>32</v>
      </c>
      <c r="K34" s="5">
        <f>E38</f>
        <v>4.2374297021779542E-2</v>
      </c>
    </row>
    <row r="35" spans="2:11" x14ac:dyDescent="0.25">
      <c r="B35" t="s">
        <v>29</v>
      </c>
      <c r="C35" s="24">
        <f>F14</f>
        <v>95960.68</v>
      </c>
      <c r="D35" s="7">
        <f>C35/$C$36</f>
        <v>0.96747556904571952</v>
      </c>
      <c r="E35" s="5">
        <f>E36-E34</f>
        <v>0.95934829058731652</v>
      </c>
      <c r="G35" t="s">
        <v>17</v>
      </c>
      <c r="K35" s="14">
        <f>E26</f>
        <v>0.3</v>
      </c>
    </row>
    <row r="36" spans="2:11" x14ac:dyDescent="0.25">
      <c r="B36" s="15" t="s">
        <v>30</v>
      </c>
      <c r="C36" s="25">
        <f>SUM(C34:C35)</f>
        <v>99186.67</v>
      </c>
      <c r="D36" s="19">
        <f>SUM(D34:D35)</f>
        <v>1</v>
      </c>
      <c r="E36" s="19">
        <f>D36</f>
        <v>1</v>
      </c>
      <c r="G36" s="15" t="s">
        <v>24</v>
      </c>
      <c r="H36" s="15"/>
      <c r="I36" s="15"/>
      <c r="J36" s="15"/>
      <c r="K36" s="23">
        <f>K33*(1+(1-K34)*K35)</f>
        <v>0.135885878038395</v>
      </c>
    </row>
    <row r="38" spans="2:11" x14ac:dyDescent="0.25">
      <c r="B38" t="s">
        <v>33</v>
      </c>
      <c r="D38" s="20">
        <f>D34/D35</f>
        <v>3.3617831803609562E-2</v>
      </c>
      <c r="E38" s="20">
        <f>E34/E35</f>
        <v>4.2374297021779542E-2</v>
      </c>
      <c r="G38" s="11" t="s">
        <v>0</v>
      </c>
      <c r="H38" s="11"/>
      <c r="I38" s="11"/>
      <c r="J38" s="4"/>
      <c r="K38" s="4"/>
    </row>
    <row r="40" spans="2:11" x14ac:dyDescent="0.25">
      <c r="B40" s="26" t="s">
        <v>37</v>
      </c>
      <c r="J40" s="4" t="s">
        <v>35</v>
      </c>
      <c r="K40" s="4" t="s">
        <v>36</v>
      </c>
    </row>
    <row r="41" spans="2:11" x14ac:dyDescent="0.25">
      <c r="B41" s="27" t="s">
        <v>38</v>
      </c>
      <c r="G41" t="s">
        <v>34</v>
      </c>
      <c r="J41" s="5">
        <f>E27</f>
        <v>1.2151308590541199E-2</v>
      </c>
      <c r="K41" s="5">
        <f>E34</f>
        <v>4.0651709412683423E-2</v>
      </c>
    </row>
    <row r="42" spans="2:11" x14ac:dyDescent="0.25">
      <c r="B42" s="27" t="s">
        <v>39</v>
      </c>
      <c r="G42" t="s">
        <v>8</v>
      </c>
      <c r="J42" s="5">
        <f>K28</f>
        <v>8.0370125122993158E-2</v>
      </c>
      <c r="K42" s="5">
        <f>E35</f>
        <v>0.95934829058731652</v>
      </c>
    </row>
    <row r="43" spans="2:11" x14ac:dyDescent="0.25">
      <c r="B43" s="27" t="s">
        <v>40</v>
      </c>
      <c r="G43" s="30" t="s">
        <v>0</v>
      </c>
      <c r="H43" s="30"/>
      <c r="I43" s="30"/>
      <c r="J43" s="30"/>
      <c r="K43" s="31">
        <f>SUMPRODUCT(J41:J42,K41:K42)</f>
        <v>7.759691361683875E-2</v>
      </c>
    </row>
    <row r="44" spans="2:11" x14ac:dyDescent="0.25">
      <c r="B44" s="27" t="s">
        <v>41</v>
      </c>
    </row>
  </sheetData>
  <hyperlinks>
    <hyperlink ref="B15" r:id="rId1" display="https://www.screener.in/company/ITCHOTELS/consolidated/" xr:uid="{FDBBF0A6-8DA3-4B87-B68A-B72F6DABB4FF}"/>
    <hyperlink ref="B16" r:id="rId2" display="https://www.screener.in/company/EIHOTEL/consolidated/" xr:uid="{0C3314FC-CF8C-4512-9095-8C2E5878A16F}"/>
    <hyperlink ref="B17" r:id="rId3" display="https://www.screener.in/company/CHALET/consolidated/" xr:uid="{55303D3A-52F5-4FFB-9428-EC687B4DECC8}"/>
  </hyperlinks>
  <pageMargins left="0.25" right="0.25" top="0.75" bottom="0.75" header="0.3" footer="0.3"/>
  <pageSetup scale="68" orientation="landscape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BE96A-40D1-4749-99FD-A1D347ABC474}">
  <sheetPr>
    <tabColor rgb="FF002060"/>
  </sheetPr>
  <dimension ref="A1"/>
  <sheetViews>
    <sheetView workbookViewId="0">
      <selection activeCell="E19" sqref="E19"/>
    </sheetView>
  </sheetViews>
  <sheetFormatPr defaultRowHeight="15" x14ac:dyDescent="0.25"/>
  <sheetData>
    <row r="1" spans="1:1" x14ac:dyDescent="0.25">
      <c r="A1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FB581-4ED6-40D4-AF66-43E84CF37B23}">
  <dimension ref="B5:AE173"/>
  <sheetViews>
    <sheetView showGridLines="0" zoomScale="83" zoomScaleNormal="38" workbookViewId="0">
      <selection activeCell="I16" sqref="I16"/>
    </sheetView>
  </sheetViews>
  <sheetFormatPr defaultRowHeight="15" x14ac:dyDescent="0.25"/>
  <cols>
    <col min="1" max="1" width="2.28515625" customWidth="1"/>
    <col min="2" max="2" width="16" bestFit="1" customWidth="1"/>
    <col min="3" max="3" width="12.5703125" bestFit="1" customWidth="1"/>
    <col min="4" max="4" width="9.140625" bestFit="1" customWidth="1"/>
    <col min="7" max="7" width="13.42578125" bestFit="1" customWidth="1"/>
    <col min="8" max="8" width="11.5703125" bestFit="1" customWidth="1"/>
    <col min="10" max="10" width="19" bestFit="1" customWidth="1"/>
    <col min="11" max="11" width="8.5703125" bestFit="1" customWidth="1"/>
    <col min="13" max="13" width="18.7109375" bestFit="1" customWidth="1"/>
    <col min="14" max="14" width="5.5703125" bestFit="1" customWidth="1"/>
    <col min="15" max="15" width="15" bestFit="1" customWidth="1"/>
    <col min="16" max="17" width="13.7109375" bestFit="1" customWidth="1"/>
    <col min="18" max="18" width="14.28515625" bestFit="1" customWidth="1"/>
    <col min="19" max="19" width="13.7109375" bestFit="1" customWidth="1"/>
    <col min="20" max="20" width="14.28515625" bestFit="1" customWidth="1"/>
    <col min="21" max="21" width="13.7109375" bestFit="1" customWidth="1"/>
    <col min="24" max="24" width="13.42578125" bestFit="1" customWidth="1"/>
    <col min="25" max="25" width="9.28515625" bestFit="1" customWidth="1"/>
    <col min="27" max="27" width="18.85546875" bestFit="1" customWidth="1"/>
    <col min="28" max="28" width="9.28515625" bestFit="1" customWidth="1"/>
  </cols>
  <sheetData>
    <row r="5" spans="2:31" x14ac:dyDescent="0.25">
      <c r="B5" s="1" t="s">
        <v>71</v>
      </c>
    </row>
    <row r="6" spans="2:31" x14ac:dyDescent="0.25">
      <c r="B6" s="1"/>
      <c r="S6" s="65" t="s">
        <v>73</v>
      </c>
      <c r="T6" s="65"/>
      <c r="U6" s="65"/>
      <c r="V6" s="65"/>
      <c r="W6" s="38"/>
      <c r="X6" s="65" t="s">
        <v>46</v>
      </c>
      <c r="Y6" s="65"/>
      <c r="Z6" s="44"/>
      <c r="AA6" s="65" t="s">
        <v>52</v>
      </c>
      <c r="AB6" s="65"/>
    </row>
    <row r="7" spans="2:31" x14ac:dyDescent="0.25">
      <c r="B7" s="65" t="s">
        <v>70</v>
      </c>
      <c r="C7" s="65"/>
      <c r="D7" s="65"/>
      <c r="E7" s="65"/>
      <c r="F7" s="38"/>
      <c r="G7" s="65" t="s">
        <v>46</v>
      </c>
      <c r="H7" s="65"/>
      <c r="I7" s="44"/>
      <c r="J7" s="65" t="s">
        <v>52</v>
      </c>
      <c r="K7" s="65"/>
      <c r="M7" t="s">
        <v>47</v>
      </c>
      <c r="N7" s="45">
        <f>SLOPE(H11:H55,D11:D55)</f>
        <v>-3.3561546696465792E-2</v>
      </c>
      <c r="O7" t="s">
        <v>50</v>
      </c>
      <c r="S7" s="44"/>
      <c r="T7" s="46"/>
      <c r="U7" s="46"/>
    </row>
    <row r="8" spans="2:31" x14ac:dyDescent="0.25">
      <c r="B8" s="44"/>
      <c r="C8" s="46"/>
      <c r="D8" s="46"/>
      <c r="M8" t="s">
        <v>48</v>
      </c>
      <c r="N8" s="21" t="e">
        <f>_xlfn.COVARIANCE.S(D11:D114,H10:H114)/_xlfn.VAR.S(H10:H114)</f>
        <v>#N/A</v>
      </c>
      <c r="O8" t="s">
        <v>51</v>
      </c>
      <c r="S8" s="47" t="s">
        <v>43</v>
      </c>
      <c r="T8" s="43" t="s">
        <v>44</v>
      </c>
      <c r="U8" s="43" t="s">
        <v>45</v>
      </c>
      <c r="X8" s="43" t="s">
        <v>44</v>
      </c>
      <c r="Y8" s="43" t="s">
        <v>45</v>
      </c>
      <c r="AA8" s="28" t="s">
        <v>53</v>
      </c>
      <c r="AB8" s="21">
        <f>AE8</f>
        <v>-5.0334046236420134E-2</v>
      </c>
      <c r="AD8" t="s">
        <v>47</v>
      </c>
      <c r="AE8">
        <f>SLOPE(Y10:Y28,U10:U28)</f>
        <v>-5.0334046236420134E-2</v>
      </c>
    </row>
    <row r="9" spans="2:31" x14ac:dyDescent="0.25">
      <c r="B9" s="47" t="s">
        <v>43</v>
      </c>
      <c r="C9" s="43" t="s">
        <v>44</v>
      </c>
      <c r="D9" s="43" t="s">
        <v>45</v>
      </c>
      <c r="G9" s="43" t="s">
        <v>44</v>
      </c>
      <c r="H9" s="43" t="s">
        <v>45</v>
      </c>
      <c r="J9" s="28" t="s">
        <v>53</v>
      </c>
      <c r="K9" s="21">
        <f>N7</f>
        <v>-3.3561546696465792E-2</v>
      </c>
      <c r="S9" s="48">
        <v>46023</v>
      </c>
      <c r="T9" s="49">
        <v>332.25</v>
      </c>
      <c r="U9" s="50"/>
      <c r="X9" s="51">
        <v>23054.400000000001</v>
      </c>
      <c r="AA9" t="s">
        <v>54</v>
      </c>
      <c r="AB9" s="50">
        <v>0.75</v>
      </c>
    </row>
    <row r="10" spans="2:31" x14ac:dyDescent="0.25">
      <c r="B10" s="52">
        <v>46023</v>
      </c>
      <c r="C10" s="53">
        <v>690.15</v>
      </c>
      <c r="G10" s="51">
        <v>23054.400000000001</v>
      </c>
      <c r="J10" t="s">
        <v>54</v>
      </c>
      <c r="K10" s="50">
        <v>0.75</v>
      </c>
      <c r="M10" t="s">
        <v>49</v>
      </c>
      <c r="N10" s="21">
        <f>N29</f>
        <v>0</v>
      </c>
      <c r="S10" s="48">
        <v>45992</v>
      </c>
      <c r="T10" s="49">
        <v>358.65</v>
      </c>
      <c r="U10" s="50">
        <f>T10/T9-1</f>
        <v>7.9458239277652387E-2</v>
      </c>
      <c r="X10" s="51">
        <v>24013.9</v>
      </c>
      <c r="Y10" s="50">
        <f>X9/X10-1</f>
        <v>-3.995602546858279E-2</v>
      </c>
    </row>
    <row r="11" spans="2:31" x14ac:dyDescent="0.25">
      <c r="B11" s="52">
        <v>45992</v>
      </c>
      <c r="C11" s="53">
        <v>738.75</v>
      </c>
      <c r="D11" s="50">
        <f>C11/C10-1</f>
        <v>7.0419474027385354E-2</v>
      </c>
      <c r="G11" s="51">
        <v>24013.9</v>
      </c>
      <c r="H11" s="50">
        <f>G10/G11-1</f>
        <v>-3.995602546858279E-2</v>
      </c>
      <c r="S11" s="48">
        <v>45962</v>
      </c>
      <c r="T11" s="49">
        <v>364.85</v>
      </c>
      <c r="U11" s="50">
        <f t="shared" ref="U11:U28" si="0">T11/T10-1</f>
        <v>1.728704865467745E-2</v>
      </c>
      <c r="X11" s="51">
        <v>24131.1</v>
      </c>
      <c r="Y11" s="50">
        <f t="shared" ref="Y11:Y28" si="1">X10/X11-1</f>
        <v>-4.856803046690672E-3</v>
      </c>
      <c r="AA11" t="s">
        <v>56</v>
      </c>
      <c r="AB11" s="54">
        <v>1</v>
      </c>
    </row>
    <row r="12" spans="2:31" x14ac:dyDescent="0.25">
      <c r="B12" s="52">
        <v>45962</v>
      </c>
      <c r="C12" s="53">
        <v>744.3</v>
      </c>
      <c r="D12" s="50">
        <f t="shared" ref="D12:D55" si="2">C12/C11-1</f>
        <v>7.5126903553299762E-3</v>
      </c>
      <c r="G12" s="51">
        <v>24131.1</v>
      </c>
      <c r="H12" s="50">
        <f t="shared" ref="H12:H54" si="3">G11/G12-1</f>
        <v>-4.856803046690672E-3</v>
      </c>
      <c r="J12" t="s">
        <v>56</v>
      </c>
      <c r="K12" s="54">
        <v>1</v>
      </c>
      <c r="S12" s="48">
        <v>45931</v>
      </c>
      <c r="T12" s="49">
        <v>362.4</v>
      </c>
      <c r="U12" s="50">
        <f t="shared" si="0"/>
        <v>-6.7150883924902427E-3</v>
      </c>
      <c r="X12" s="51">
        <v>24205.35</v>
      </c>
      <c r="Y12" s="50">
        <f t="shared" si="1"/>
        <v>-3.0675036717089377E-3</v>
      </c>
      <c r="AA12" t="s">
        <v>55</v>
      </c>
      <c r="AB12" s="50">
        <v>0.25</v>
      </c>
    </row>
    <row r="13" spans="2:31" x14ac:dyDescent="0.25">
      <c r="B13" s="52">
        <v>45931</v>
      </c>
      <c r="C13" s="53">
        <v>741.8</v>
      </c>
      <c r="D13" s="50">
        <f t="shared" si="2"/>
        <v>-3.3588606744592298E-3</v>
      </c>
      <c r="G13" s="51">
        <v>24205.35</v>
      </c>
      <c r="H13" s="50">
        <f t="shared" si="3"/>
        <v>-3.0675036717089377E-3</v>
      </c>
      <c r="J13" t="s">
        <v>55</v>
      </c>
      <c r="K13" s="50">
        <v>0.25</v>
      </c>
      <c r="S13" s="48">
        <v>45901</v>
      </c>
      <c r="T13" s="49">
        <v>373.95</v>
      </c>
      <c r="U13" s="50">
        <f t="shared" si="0"/>
        <v>3.18708609271523E-2</v>
      </c>
      <c r="X13" s="51">
        <v>25810.400000000001</v>
      </c>
      <c r="Y13" s="50">
        <f t="shared" si="1"/>
        <v>-6.2186173015528756E-2</v>
      </c>
    </row>
    <row r="14" spans="2:31" x14ac:dyDescent="0.25">
      <c r="B14" s="52">
        <v>45901</v>
      </c>
      <c r="C14" s="53">
        <v>720.3</v>
      </c>
      <c r="D14" s="50">
        <f t="shared" si="2"/>
        <v>-2.8983553518468597E-2</v>
      </c>
      <c r="G14" s="51">
        <v>25810.400000000001</v>
      </c>
      <c r="H14" s="50">
        <f t="shared" si="3"/>
        <v>-6.2186173015528756E-2</v>
      </c>
      <c r="M14" s="55"/>
      <c r="N14" s="55"/>
      <c r="S14" s="48">
        <v>45870</v>
      </c>
      <c r="T14" s="49">
        <v>382.1</v>
      </c>
      <c r="U14" s="50">
        <f t="shared" si="0"/>
        <v>2.1794357534429931E-2</v>
      </c>
      <c r="X14" s="51">
        <v>25235.9</v>
      </c>
      <c r="Y14" s="50">
        <f t="shared" si="1"/>
        <v>2.2765187688966959E-2</v>
      </c>
      <c r="AA14" s="56" t="s">
        <v>57</v>
      </c>
      <c r="AB14" s="57">
        <f>(AB8*AB9)+(AB11*AB12)</f>
        <v>0.2122494653226849</v>
      </c>
    </row>
    <row r="15" spans="2:31" x14ac:dyDescent="0.25">
      <c r="B15" s="52">
        <v>45870</v>
      </c>
      <c r="C15" s="53">
        <v>758.45</v>
      </c>
      <c r="D15" s="50">
        <f t="shared" si="2"/>
        <v>5.2964042759961361E-2</v>
      </c>
      <c r="G15" s="51">
        <v>25235.9</v>
      </c>
      <c r="H15" s="50">
        <f t="shared" si="3"/>
        <v>2.2765187688966959E-2</v>
      </c>
      <c r="J15" s="56" t="s">
        <v>57</v>
      </c>
      <c r="K15" s="57">
        <f>(K9*K10)+(K12*K13)</f>
        <v>0.22482883997765066</v>
      </c>
      <c r="S15" s="48">
        <v>45839</v>
      </c>
      <c r="T15" s="49">
        <v>374.8</v>
      </c>
      <c r="U15" s="50">
        <f t="shared" si="0"/>
        <v>-1.9104946349123297E-2</v>
      </c>
      <c r="X15" s="51">
        <v>24951.15</v>
      </c>
      <c r="Y15" s="50">
        <f t="shared" si="1"/>
        <v>1.141229963348378E-2</v>
      </c>
    </row>
    <row r="16" spans="2:31" x14ac:dyDescent="0.25">
      <c r="B16" s="52">
        <v>45839</v>
      </c>
      <c r="C16" s="53">
        <v>740.75</v>
      </c>
      <c r="D16" s="50">
        <f t="shared" si="2"/>
        <v>-2.3337069022348222E-2</v>
      </c>
      <c r="G16" s="51">
        <v>24951.15</v>
      </c>
      <c r="H16" s="50">
        <f t="shared" si="3"/>
        <v>1.141229963348378E-2</v>
      </c>
      <c r="S16" s="48">
        <v>45809</v>
      </c>
      <c r="T16" s="49">
        <v>355.2</v>
      </c>
      <c r="U16" s="50">
        <f t="shared" si="0"/>
        <v>-5.2294557097118499E-2</v>
      </c>
      <c r="X16" s="51">
        <v>24010.6</v>
      </c>
      <c r="Y16" s="50">
        <f t="shared" si="1"/>
        <v>3.917228224200997E-2</v>
      </c>
    </row>
    <row r="17" spans="2:25" x14ac:dyDescent="0.25">
      <c r="B17" s="52">
        <v>45809</v>
      </c>
      <c r="C17" s="53">
        <v>760.3</v>
      </c>
      <c r="D17" s="50">
        <f t="shared" si="2"/>
        <v>2.6392170097873757E-2</v>
      </c>
      <c r="G17" s="51">
        <v>24010.6</v>
      </c>
      <c r="H17" s="50">
        <f t="shared" si="3"/>
        <v>3.917228224200997E-2</v>
      </c>
      <c r="S17" s="48">
        <v>45778</v>
      </c>
      <c r="T17" s="49">
        <v>342.15</v>
      </c>
      <c r="U17" s="50">
        <f t="shared" si="0"/>
        <v>-3.6739864864864913E-2</v>
      </c>
      <c r="X17" s="51">
        <v>22530.7</v>
      </c>
      <c r="Y17" s="50">
        <f t="shared" si="1"/>
        <v>6.5683711558007341E-2</v>
      </c>
    </row>
    <row r="18" spans="2:25" x14ac:dyDescent="0.25">
      <c r="B18" s="52">
        <v>45778</v>
      </c>
      <c r="C18" s="53">
        <v>769.85</v>
      </c>
      <c r="D18" s="50">
        <f t="shared" si="2"/>
        <v>1.256083125082208E-2</v>
      </c>
      <c r="G18" s="51">
        <v>22530.7</v>
      </c>
      <c r="H18" s="50">
        <f t="shared" si="3"/>
        <v>6.5683711558007341E-2</v>
      </c>
      <c r="S18" s="48">
        <v>45748</v>
      </c>
      <c r="T18" s="49">
        <v>348.9</v>
      </c>
      <c r="U18" s="50">
        <f t="shared" si="0"/>
        <v>1.9728189390618045E-2</v>
      </c>
      <c r="X18" s="51">
        <v>22604.85</v>
      </c>
      <c r="Y18" s="50">
        <f t="shared" si="1"/>
        <v>-3.2802694996869608E-3</v>
      </c>
    </row>
    <row r="19" spans="2:25" x14ac:dyDescent="0.25">
      <c r="B19" s="52">
        <v>45748</v>
      </c>
      <c r="C19" s="53">
        <v>787.7</v>
      </c>
      <c r="D19" s="50">
        <f t="shared" si="2"/>
        <v>2.3186335000324743E-2</v>
      </c>
      <c r="G19" s="51">
        <v>22604.85</v>
      </c>
      <c r="H19" s="50">
        <f t="shared" si="3"/>
        <v>-3.2802694996869608E-3</v>
      </c>
      <c r="S19" s="48">
        <v>45717</v>
      </c>
      <c r="T19" s="49">
        <v>322.45</v>
      </c>
      <c r="U19" s="50">
        <f t="shared" si="0"/>
        <v>-7.5809687589567187E-2</v>
      </c>
      <c r="X19" s="51">
        <v>22326.9</v>
      </c>
      <c r="Y19" s="50">
        <f t="shared" si="1"/>
        <v>1.2449108474530624E-2</v>
      </c>
    </row>
    <row r="20" spans="2:25" x14ac:dyDescent="0.25">
      <c r="B20" s="52">
        <v>45717</v>
      </c>
      <c r="C20" s="53">
        <v>787.55</v>
      </c>
      <c r="D20" s="50">
        <f t="shared" si="2"/>
        <v>-1.9042782785338996E-4</v>
      </c>
      <c r="G20" s="51">
        <v>22326.9</v>
      </c>
      <c r="H20" s="50">
        <f t="shared" si="3"/>
        <v>1.2449108474530624E-2</v>
      </c>
      <c r="S20" s="48">
        <v>45689</v>
      </c>
      <c r="T20" s="49">
        <v>315.60000000000002</v>
      </c>
      <c r="U20" s="50">
        <f t="shared" si="0"/>
        <v>-2.1243603659481969E-2</v>
      </c>
      <c r="X20" s="51">
        <v>21982.799999999999</v>
      </c>
      <c r="Y20" s="50">
        <f t="shared" si="1"/>
        <v>1.5653147005840973E-2</v>
      </c>
    </row>
    <row r="21" spans="2:25" x14ac:dyDescent="0.25">
      <c r="B21" s="52">
        <v>45689</v>
      </c>
      <c r="C21" s="53">
        <v>716.1</v>
      </c>
      <c r="D21" s="50">
        <f t="shared" si="2"/>
        <v>-9.0724398450891974E-2</v>
      </c>
      <c r="G21" s="51">
        <v>21982.799999999999</v>
      </c>
      <c r="H21" s="50">
        <f t="shared" si="3"/>
        <v>1.5653147005840973E-2</v>
      </c>
      <c r="S21" s="48">
        <v>45658</v>
      </c>
      <c r="T21" s="49">
        <v>324.7</v>
      </c>
      <c r="U21" s="50">
        <f t="shared" si="0"/>
        <v>2.8833967046894671E-2</v>
      </c>
      <c r="X21" s="51">
        <v>21697.45</v>
      </c>
      <c r="Y21" s="50">
        <f t="shared" si="1"/>
        <v>1.3151315016280751E-2</v>
      </c>
    </row>
    <row r="22" spans="2:25" x14ac:dyDescent="0.25">
      <c r="B22" s="52">
        <v>45658</v>
      </c>
      <c r="C22" s="53">
        <v>764.7</v>
      </c>
      <c r="D22" s="50">
        <f t="shared" si="2"/>
        <v>6.7867616254713159E-2</v>
      </c>
      <c r="G22" s="51">
        <v>21697.45</v>
      </c>
      <c r="H22" s="50">
        <f t="shared" si="3"/>
        <v>1.3151315016280751E-2</v>
      </c>
      <c r="M22" s="58"/>
      <c r="N22" s="58"/>
      <c r="O22" s="58"/>
      <c r="P22" s="58"/>
      <c r="Q22" s="58"/>
      <c r="R22" s="58"/>
      <c r="S22" s="48">
        <v>45627</v>
      </c>
      <c r="T22" s="49">
        <v>358.25</v>
      </c>
      <c r="U22" s="50">
        <f t="shared" si="0"/>
        <v>0.10332614721281197</v>
      </c>
      <c r="X22" s="51">
        <v>21731.4</v>
      </c>
      <c r="Y22" s="50">
        <f t="shared" si="1"/>
        <v>-1.5622555380693237E-3</v>
      </c>
    </row>
    <row r="23" spans="2:25" x14ac:dyDescent="0.25">
      <c r="B23" s="52">
        <v>45627</v>
      </c>
      <c r="C23" s="53">
        <v>877.55</v>
      </c>
      <c r="D23" s="50">
        <f t="shared" si="2"/>
        <v>0.14757421210932375</v>
      </c>
      <c r="G23" s="51">
        <v>21731.4</v>
      </c>
      <c r="H23" s="50">
        <f t="shared" si="3"/>
        <v>-1.5622555380693237E-3</v>
      </c>
      <c r="S23" s="48">
        <v>45597</v>
      </c>
      <c r="T23" s="49">
        <v>342.1</v>
      </c>
      <c r="U23" s="50">
        <f t="shared" si="0"/>
        <v>-4.5080251221214174E-2</v>
      </c>
      <c r="X23" s="51">
        <v>20133.150000000001</v>
      </c>
      <c r="Y23" s="50">
        <f t="shared" si="1"/>
        <v>7.9384001013254268E-2</v>
      </c>
    </row>
    <row r="24" spans="2:25" x14ac:dyDescent="0.25">
      <c r="B24" s="52">
        <v>45597</v>
      </c>
      <c r="C24" s="53">
        <v>793.35</v>
      </c>
      <c r="D24" s="50">
        <f t="shared" si="2"/>
        <v>-9.594894877784732E-2</v>
      </c>
      <c r="G24" s="51">
        <v>20133.150000000001</v>
      </c>
      <c r="H24" s="50">
        <f t="shared" si="3"/>
        <v>7.9384001013254268E-2</v>
      </c>
      <c r="S24" s="48">
        <v>45566</v>
      </c>
      <c r="T24" s="49">
        <v>315.3</v>
      </c>
      <c r="U24" s="50">
        <f t="shared" si="0"/>
        <v>-7.8339666764104088E-2</v>
      </c>
      <c r="X24" s="51">
        <v>19079.599999999999</v>
      </c>
      <c r="Y24" s="50">
        <f t="shared" si="1"/>
        <v>5.5218662865049728E-2</v>
      </c>
    </row>
    <row r="25" spans="2:25" x14ac:dyDescent="0.25">
      <c r="B25" s="52">
        <v>45566</v>
      </c>
      <c r="C25" s="53">
        <v>676.7</v>
      </c>
      <c r="D25" s="50">
        <f t="shared" si="2"/>
        <v>-0.14703472616121505</v>
      </c>
      <c r="G25" s="51">
        <v>19079.599999999999</v>
      </c>
      <c r="H25" s="50">
        <f t="shared" si="3"/>
        <v>5.5218662865049728E-2</v>
      </c>
      <c r="S25" s="48">
        <v>45536</v>
      </c>
      <c r="T25" s="49">
        <v>335.45</v>
      </c>
      <c r="U25" s="50">
        <f t="shared" si="0"/>
        <v>6.3907389787503988E-2</v>
      </c>
      <c r="X25" s="51">
        <v>19638.3</v>
      </c>
      <c r="Y25" s="50">
        <f t="shared" si="1"/>
        <v>-2.844950937708457E-2</v>
      </c>
    </row>
    <row r="26" spans="2:25" x14ac:dyDescent="0.25">
      <c r="B26" s="52">
        <v>45536</v>
      </c>
      <c r="C26" s="53">
        <v>684.7</v>
      </c>
      <c r="D26" s="50">
        <f t="shared" si="2"/>
        <v>1.1822077730160974E-2</v>
      </c>
      <c r="G26" s="51">
        <v>19638.3</v>
      </c>
      <c r="H26" s="50">
        <f t="shared" si="3"/>
        <v>-2.844950937708457E-2</v>
      </c>
      <c r="S26" s="48">
        <v>45505</v>
      </c>
      <c r="T26" s="49">
        <v>352.1</v>
      </c>
      <c r="U26" s="50">
        <f t="shared" si="0"/>
        <v>4.9634818899985111E-2</v>
      </c>
      <c r="X26" s="51">
        <v>19253.8</v>
      </c>
      <c r="Y26" s="50">
        <f t="shared" si="1"/>
        <v>1.9970083827608009E-2</v>
      </c>
    </row>
    <row r="27" spans="2:25" x14ac:dyDescent="0.25">
      <c r="B27" s="52">
        <v>45505</v>
      </c>
      <c r="C27" s="53">
        <v>647.5</v>
      </c>
      <c r="D27" s="50">
        <f t="shared" si="2"/>
        <v>-5.4330363662918102E-2</v>
      </c>
      <c r="G27" s="51">
        <v>19253.8</v>
      </c>
      <c r="H27" s="50">
        <f t="shared" si="3"/>
        <v>1.9970083827608009E-2</v>
      </c>
      <c r="M27" s="58"/>
      <c r="N27" s="58"/>
      <c r="O27" s="58"/>
      <c r="P27" s="58"/>
      <c r="Q27" s="58"/>
      <c r="R27" s="58"/>
      <c r="S27" s="48">
        <v>45474</v>
      </c>
      <c r="T27" s="49">
        <v>740.1</v>
      </c>
      <c r="U27" s="50">
        <f t="shared" si="0"/>
        <v>1.1019596705481396</v>
      </c>
      <c r="X27" s="51">
        <v>19753.8</v>
      </c>
      <c r="Y27" s="50">
        <f t="shared" si="1"/>
        <v>-2.5311585618969512E-2</v>
      </c>
    </row>
    <row r="28" spans="2:25" x14ac:dyDescent="0.25">
      <c r="B28" s="52">
        <v>45474</v>
      </c>
      <c r="C28" s="53">
        <v>642.04999999999995</v>
      </c>
      <c r="D28" s="50">
        <f t="shared" si="2"/>
        <v>-8.4169884169884579E-3</v>
      </c>
      <c r="G28" s="51">
        <v>19753.8</v>
      </c>
      <c r="H28" s="50">
        <f t="shared" si="3"/>
        <v>-2.5311585618969512E-2</v>
      </c>
      <c r="S28" s="48">
        <v>45444</v>
      </c>
      <c r="T28" s="49">
        <v>715.3</v>
      </c>
      <c r="U28" s="50">
        <f t="shared" si="0"/>
        <v>-3.350898527226065E-2</v>
      </c>
      <c r="X28" s="51">
        <v>19189.05</v>
      </c>
      <c r="Y28" s="50">
        <f t="shared" si="1"/>
        <v>2.9430847280089489E-2</v>
      </c>
    </row>
    <row r="29" spans="2:25" x14ac:dyDescent="0.25">
      <c r="B29" s="52">
        <v>45444</v>
      </c>
      <c r="C29" s="53">
        <v>625.04999999999995</v>
      </c>
      <c r="D29" s="50">
        <f t="shared" si="2"/>
        <v>-2.6477688653531617E-2</v>
      </c>
      <c r="G29" s="51">
        <v>19189.05</v>
      </c>
      <c r="H29" s="50">
        <f t="shared" si="3"/>
        <v>2.9430847280089489E-2</v>
      </c>
      <c r="N29" s="1"/>
      <c r="X29" s="51"/>
      <c r="Y29" s="50"/>
    </row>
    <row r="30" spans="2:25" x14ac:dyDescent="0.25">
      <c r="B30" s="52">
        <v>45413</v>
      </c>
      <c r="C30" s="53">
        <v>557.4</v>
      </c>
      <c r="D30" s="50">
        <f t="shared" si="2"/>
        <v>-0.10823134149268054</v>
      </c>
      <c r="G30" s="51">
        <v>18534.400000000001</v>
      </c>
      <c r="H30" s="50">
        <f t="shared" si="3"/>
        <v>3.5320808874309328E-2</v>
      </c>
      <c r="S30" s="52"/>
      <c r="T30" s="53"/>
      <c r="U30" s="50"/>
      <c r="X30" s="51"/>
      <c r="Y30" s="50"/>
    </row>
    <row r="31" spans="2:25" x14ac:dyDescent="0.25">
      <c r="B31" s="52">
        <v>45383</v>
      </c>
      <c r="C31" s="53">
        <v>576.75</v>
      </c>
      <c r="D31" s="50">
        <f t="shared" si="2"/>
        <v>3.4714747039827909E-2</v>
      </c>
      <c r="G31" s="51">
        <v>18065</v>
      </c>
      <c r="H31" s="50">
        <f t="shared" si="3"/>
        <v>2.5983946858566309E-2</v>
      </c>
      <c r="S31" s="52"/>
      <c r="T31" s="53"/>
      <c r="U31" s="50"/>
      <c r="X31" s="51"/>
      <c r="Y31" s="50"/>
    </row>
    <row r="32" spans="2:25" x14ac:dyDescent="0.25">
      <c r="B32" s="52">
        <v>45352</v>
      </c>
      <c r="C32" s="53">
        <v>591.15</v>
      </c>
      <c r="D32" s="50">
        <f t="shared" si="2"/>
        <v>2.4967490247074009E-2</v>
      </c>
      <c r="G32" s="51">
        <v>17359.75</v>
      </c>
      <c r="H32" s="50">
        <f t="shared" si="3"/>
        <v>4.0625585045867663E-2</v>
      </c>
      <c r="S32" s="52"/>
      <c r="T32" s="53"/>
      <c r="U32" s="50"/>
      <c r="X32" s="51"/>
      <c r="Y32" s="50"/>
    </row>
    <row r="33" spans="2:25" x14ac:dyDescent="0.25">
      <c r="B33" s="52">
        <v>45323</v>
      </c>
      <c r="C33" s="53">
        <v>586.70000000000005</v>
      </c>
      <c r="D33" s="50">
        <f t="shared" si="2"/>
        <v>-7.5277002452844854E-3</v>
      </c>
      <c r="G33" s="51">
        <v>17303.95</v>
      </c>
      <c r="H33" s="50">
        <f t="shared" si="3"/>
        <v>3.2246972512055549E-3</v>
      </c>
      <c r="S33" s="52"/>
      <c r="T33" s="53"/>
      <c r="U33" s="50"/>
      <c r="X33" s="51"/>
      <c r="Y33" s="50"/>
    </row>
    <row r="34" spans="2:25" x14ac:dyDescent="0.25">
      <c r="B34" s="52">
        <v>45292</v>
      </c>
      <c r="C34" s="53">
        <v>492.65</v>
      </c>
      <c r="D34" s="50">
        <f t="shared" si="2"/>
        <v>-0.16030339185273579</v>
      </c>
      <c r="G34" s="51">
        <v>17662.150000000001</v>
      </c>
      <c r="H34" s="50">
        <f t="shared" si="3"/>
        <v>-2.0280656658447582E-2</v>
      </c>
      <c r="S34" s="52"/>
      <c r="T34" s="53"/>
      <c r="U34" s="50"/>
      <c r="X34" s="51"/>
      <c r="Y34" s="50"/>
    </row>
    <row r="35" spans="2:25" x14ac:dyDescent="0.25">
      <c r="B35" s="52">
        <v>45261</v>
      </c>
      <c r="C35" s="53">
        <v>438.35</v>
      </c>
      <c r="D35" s="50">
        <f t="shared" si="2"/>
        <v>-0.11022023749111942</v>
      </c>
      <c r="G35" s="51">
        <v>18105.3</v>
      </c>
      <c r="H35" s="50">
        <f t="shared" si="3"/>
        <v>-2.4476258333195111E-2</v>
      </c>
      <c r="S35" s="52"/>
      <c r="T35" s="53"/>
      <c r="U35" s="50"/>
      <c r="X35" s="51"/>
      <c r="Y35" s="50"/>
    </row>
    <row r="36" spans="2:25" x14ac:dyDescent="0.25">
      <c r="B36" s="52">
        <v>45231</v>
      </c>
      <c r="C36" s="53">
        <v>421.7</v>
      </c>
      <c r="D36" s="50">
        <f t="shared" si="2"/>
        <v>-3.7983346640812266E-2</v>
      </c>
      <c r="G36" s="51">
        <v>18758.349999999999</v>
      </c>
      <c r="H36" s="50">
        <f t="shared" si="3"/>
        <v>-3.4813829574562805E-2</v>
      </c>
      <c r="S36" s="52"/>
      <c r="T36" s="53"/>
      <c r="U36" s="50"/>
      <c r="X36" s="51"/>
      <c r="Y36" s="50"/>
    </row>
    <row r="37" spans="2:25" x14ac:dyDescent="0.25">
      <c r="B37" s="52">
        <v>45200</v>
      </c>
      <c r="C37" s="53">
        <v>383.4</v>
      </c>
      <c r="D37" s="50">
        <f t="shared" si="2"/>
        <v>-9.0822859852976112E-2</v>
      </c>
      <c r="G37" s="51">
        <v>18012.2</v>
      </c>
      <c r="H37" s="50">
        <f t="shared" si="3"/>
        <v>4.1424701035964295E-2</v>
      </c>
      <c r="S37" s="52"/>
      <c r="T37" s="53"/>
      <c r="U37" s="50"/>
      <c r="X37" s="51"/>
      <c r="Y37" s="50"/>
    </row>
    <row r="38" spans="2:25" x14ac:dyDescent="0.25">
      <c r="B38" s="52">
        <v>45170</v>
      </c>
      <c r="C38" s="53">
        <v>411.1</v>
      </c>
      <c r="D38" s="50">
        <f t="shared" si="2"/>
        <v>7.2248304642670957E-2</v>
      </c>
      <c r="G38" s="51">
        <v>17094.349999999999</v>
      </c>
      <c r="H38" s="50">
        <f t="shared" si="3"/>
        <v>5.3693179325332796E-2</v>
      </c>
      <c r="S38" s="52"/>
      <c r="T38" s="53"/>
      <c r="U38" s="50"/>
      <c r="X38" s="51"/>
      <c r="Y38" s="50"/>
    </row>
    <row r="39" spans="2:25" x14ac:dyDescent="0.25">
      <c r="B39" s="52">
        <v>45139</v>
      </c>
      <c r="C39" s="53">
        <v>420.9</v>
      </c>
      <c r="D39" s="50">
        <f t="shared" si="2"/>
        <v>2.3838482121138371E-2</v>
      </c>
      <c r="G39" s="51">
        <v>17759.3</v>
      </c>
      <c r="H39" s="50">
        <f t="shared" si="3"/>
        <v>-3.7442354146841383E-2</v>
      </c>
      <c r="S39" s="52"/>
      <c r="T39" s="53"/>
      <c r="U39" s="50"/>
      <c r="X39" s="51"/>
      <c r="Y39" s="50"/>
    </row>
    <row r="40" spans="2:25" x14ac:dyDescent="0.25">
      <c r="B40" s="52">
        <v>45108</v>
      </c>
      <c r="C40" s="53">
        <v>395.1</v>
      </c>
      <c r="D40" s="50">
        <f t="shared" si="2"/>
        <v>-6.1297220242337747E-2</v>
      </c>
      <c r="G40" s="51">
        <v>17158.25</v>
      </c>
      <c r="H40" s="50">
        <f t="shared" si="3"/>
        <v>3.5029796162195925E-2</v>
      </c>
      <c r="S40" s="52"/>
      <c r="T40" s="53"/>
      <c r="U40" s="50"/>
      <c r="X40" s="51"/>
      <c r="Y40" s="50"/>
    </row>
    <row r="41" spans="2:25" x14ac:dyDescent="0.25">
      <c r="B41" s="52">
        <v>45078</v>
      </c>
      <c r="C41" s="53">
        <v>392.5</v>
      </c>
      <c r="D41" s="50">
        <f t="shared" si="2"/>
        <v>-6.5806125031637741E-3</v>
      </c>
      <c r="G41" s="51">
        <v>15780.25</v>
      </c>
      <c r="H41" s="50">
        <f t="shared" si="3"/>
        <v>8.7324345305048956E-2</v>
      </c>
      <c r="S41" s="52"/>
      <c r="T41" s="53"/>
      <c r="U41" s="50"/>
      <c r="X41" s="51"/>
      <c r="Y41" s="50"/>
    </row>
    <row r="42" spans="2:25" x14ac:dyDescent="0.25">
      <c r="B42" s="52">
        <v>45047</v>
      </c>
      <c r="C42" s="53">
        <v>389.7</v>
      </c>
      <c r="D42" s="50">
        <f t="shared" si="2"/>
        <v>-7.1337579617835045E-3</v>
      </c>
      <c r="G42" s="51">
        <v>16584.55</v>
      </c>
      <c r="H42" s="50">
        <f t="shared" si="3"/>
        <v>-4.8496944445281853E-2</v>
      </c>
      <c r="S42" s="52"/>
      <c r="T42" s="53"/>
      <c r="U42" s="50"/>
      <c r="X42" s="51"/>
      <c r="Y42" s="50"/>
    </row>
    <row r="43" spans="2:25" x14ac:dyDescent="0.25">
      <c r="B43" s="52">
        <v>45017</v>
      </c>
      <c r="C43" s="53">
        <v>339.1</v>
      </c>
      <c r="D43" s="50">
        <f t="shared" si="2"/>
        <v>-0.12984346933538615</v>
      </c>
      <c r="G43" s="51">
        <v>17102.55</v>
      </c>
      <c r="H43" s="50">
        <f t="shared" si="3"/>
        <v>-3.0287881046978327E-2</v>
      </c>
      <c r="S43" s="52"/>
      <c r="T43" s="53"/>
      <c r="U43" s="50"/>
      <c r="X43" s="51"/>
      <c r="Y43" s="50"/>
    </row>
    <row r="44" spans="2:25" x14ac:dyDescent="0.25">
      <c r="B44" s="52">
        <v>44986</v>
      </c>
      <c r="C44" s="53">
        <v>324.35000000000002</v>
      </c>
      <c r="D44" s="50">
        <f t="shared" si="2"/>
        <v>-4.3497493364789142E-2</v>
      </c>
      <c r="G44" s="51">
        <v>17464.75</v>
      </c>
      <c r="H44" s="50">
        <f t="shared" si="3"/>
        <v>-2.0738916961307807E-2</v>
      </c>
      <c r="S44" s="52"/>
      <c r="T44" s="53"/>
      <c r="U44" s="50"/>
      <c r="X44" s="51"/>
      <c r="Y44" s="50"/>
    </row>
    <row r="45" spans="2:25" x14ac:dyDescent="0.25">
      <c r="B45" s="52">
        <v>44958</v>
      </c>
      <c r="C45" s="53">
        <v>310.75</v>
      </c>
      <c r="D45" s="50">
        <f t="shared" si="2"/>
        <v>-4.1930013873901717E-2</v>
      </c>
      <c r="G45" s="51">
        <v>16793.900000000001</v>
      </c>
      <c r="H45" s="50">
        <f t="shared" si="3"/>
        <v>3.9946051840251462E-2</v>
      </c>
      <c r="S45" s="52"/>
      <c r="T45" s="53"/>
      <c r="U45" s="50"/>
      <c r="X45" s="51"/>
      <c r="Y45" s="50"/>
    </row>
    <row r="46" spans="2:25" x14ac:dyDescent="0.25">
      <c r="B46" s="52">
        <v>44927</v>
      </c>
      <c r="C46" s="53">
        <v>301</v>
      </c>
      <c r="D46" s="50">
        <f t="shared" si="2"/>
        <v>-3.1375703942075672E-2</v>
      </c>
      <c r="G46" s="51">
        <v>17339.849999999999</v>
      </c>
      <c r="H46" s="50">
        <f t="shared" si="3"/>
        <v>-3.1485278131010208E-2</v>
      </c>
      <c r="S46" s="52"/>
      <c r="T46" s="53"/>
      <c r="U46" s="50"/>
      <c r="X46" s="51"/>
      <c r="Y46" s="50"/>
    </row>
    <row r="47" spans="2:25" x14ac:dyDescent="0.25">
      <c r="B47" s="52">
        <v>44896</v>
      </c>
      <c r="C47" s="53">
        <v>318.64999999999998</v>
      </c>
      <c r="D47" s="50">
        <f t="shared" si="2"/>
        <v>5.8637873754152858E-2</v>
      </c>
      <c r="G47" s="51">
        <v>17354.05</v>
      </c>
      <c r="H47" s="50">
        <f t="shared" si="3"/>
        <v>-8.1825279977876253E-4</v>
      </c>
      <c r="S47" s="52"/>
      <c r="T47" s="53"/>
      <c r="U47" s="50"/>
      <c r="X47" s="51"/>
      <c r="Y47" s="50"/>
    </row>
    <row r="48" spans="2:25" x14ac:dyDescent="0.25">
      <c r="B48" s="52">
        <v>44866</v>
      </c>
      <c r="C48" s="53">
        <v>321.64999999999998</v>
      </c>
      <c r="D48" s="50">
        <f t="shared" si="2"/>
        <v>9.4147183430095538E-3</v>
      </c>
      <c r="G48" s="51">
        <v>16983.2</v>
      </c>
      <c r="H48" s="50">
        <f t="shared" si="3"/>
        <v>2.1836285270149247E-2</v>
      </c>
      <c r="S48" s="52"/>
      <c r="T48" s="53"/>
      <c r="U48" s="50"/>
      <c r="X48" s="51"/>
      <c r="Y48" s="50"/>
    </row>
    <row r="49" spans="2:31" x14ac:dyDescent="0.25">
      <c r="B49" s="52">
        <v>44835</v>
      </c>
      <c r="C49" s="53">
        <v>333.8</v>
      </c>
      <c r="D49" s="50">
        <f t="shared" si="2"/>
        <v>3.7773977926317537E-2</v>
      </c>
      <c r="G49" s="51">
        <v>17671.650000000001</v>
      </c>
      <c r="H49" s="50">
        <f t="shared" si="3"/>
        <v>-3.8957878862471818E-2</v>
      </c>
      <c r="S49" s="52"/>
      <c r="T49" s="53"/>
      <c r="U49" s="50"/>
      <c r="X49" s="51"/>
      <c r="Y49" s="50"/>
    </row>
    <row r="50" spans="2:31" x14ac:dyDescent="0.25">
      <c r="B50" s="52">
        <v>44805</v>
      </c>
      <c r="C50" s="53">
        <v>331.7</v>
      </c>
      <c r="D50" s="50">
        <f t="shared" si="2"/>
        <v>-6.2911923307370499E-3</v>
      </c>
      <c r="G50" s="51">
        <v>17618.150000000001</v>
      </c>
      <c r="H50" s="50">
        <f t="shared" si="3"/>
        <v>3.0366411910445201E-3</v>
      </c>
      <c r="S50" s="52"/>
      <c r="T50" s="53"/>
      <c r="U50" s="50"/>
      <c r="X50" s="51"/>
      <c r="Y50" s="50"/>
    </row>
    <row r="51" spans="2:31" x14ac:dyDescent="0.25">
      <c r="B51" s="52">
        <v>44774</v>
      </c>
      <c r="C51" s="53">
        <v>285.45</v>
      </c>
      <c r="D51" s="50">
        <f t="shared" si="2"/>
        <v>-0.13943322279167925</v>
      </c>
      <c r="G51" s="51">
        <v>17132.2</v>
      </c>
      <c r="H51" s="50">
        <f t="shared" si="3"/>
        <v>2.8364716732235173E-2</v>
      </c>
      <c r="S51" s="52"/>
      <c r="T51" s="53"/>
      <c r="U51" s="50"/>
      <c r="X51" s="51"/>
      <c r="Y51" s="50"/>
    </row>
    <row r="52" spans="2:31" x14ac:dyDescent="0.25">
      <c r="B52" s="52">
        <v>44743</v>
      </c>
      <c r="C52" s="53">
        <v>262.85000000000002</v>
      </c>
      <c r="D52" s="50">
        <f t="shared" si="2"/>
        <v>-7.9173235242599338E-2</v>
      </c>
      <c r="G52" s="51">
        <v>15763.05</v>
      </c>
      <c r="H52" s="50">
        <f t="shared" si="3"/>
        <v>8.6858190515160638E-2</v>
      </c>
      <c r="S52" s="52"/>
      <c r="T52" s="53"/>
      <c r="U52" s="50"/>
      <c r="X52" s="51"/>
      <c r="Y52" s="50"/>
    </row>
    <row r="53" spans="2:31" x14ac:dyDescent="0.25">
      <c r="B53" s="52">
        <v>44713</v>
      </c>
      <c r="C53" s="53">
        <v>225.15</v>
      </c>
      <c r="D53" s="50">
        <f t="shared" si="2"/>
        <v>-0.14342781053832987</v>
      </c>
      <c r="G53" s="51">
        <v>15721.5</v>
      </c>
      <c r="H53" s="50">
        <f t="shared" si="3"/>
        <v>2.6428775880162902E-3</v>
      </c>
      <c r="S53" s="52"/>
      <c r="T53" s="53"/>
      <c r="U53" s="50"/>
      <c r="X53" s="51"/>
      <c r="Y53" s="50"/>
    </row>
    <row r="54" spans="2:31" x14ac:dyDescent="0.25">
      <c r="B54" s="52">
        <v>44682</v>
      </c>
      <c r="C54" s="53">
        <v>235</v>
      </c>
      <c r="D54" s="50">
        <f t="shared" si="2"/>
        <v>4.3748612036420109E-2</v>
      </c>
      <c r="G54" s="51">
        <v>15582.8</v>
      </c>
      <c r="H54" s="50">
        <f t="shared" si="3"/>
        <v>8.9008393870164682E-3</v>
      </c>
      <c r="S54" s="52"/>
      <c r="T54" s="53"/>
      <c r="U54" s="50"/>
      <c r="X54" s="51"/>
      <c r="Y54" s="50"/>
    </row>
    <row r="55" spans="2:31" x14ac:dyDescent="0.25">
      <c r="B55" s="52">
        <v>44652</v>
      </c>
      <c r="C55" s="53">
        <v>256.5</v>
      </c>
      <c r="D55" s="50">
        <f t="shared" si="2"/>
        <v>9.1489361702127736E-2</v>
      </c>
      <c r="G55" s="51">
        <v>14631.1</v>
      </c>
      <c r="H55" s="50">
        <f>G54/G55-1</f>
        <v>6.5046373820150105E-2</v>
      </c>
    </row>
    <row r="56" spans="2:31" x14ac:dyDescent="0.25">
      <c r="B56" s="52"/>
      <c r="C56" s="53"/>
      <c r="D56" s="50"/>
    </row>
    <row r="57" spans="2:31" x14ac:dyDescent="0.25">
      <c r="B57" s="52"/>
      <c r="C57" s="53"/>
      <c r="D57" s="50"/>
      <c r="G57" s="59"/>
      <c r="H57" s="51"/>
    </row>
    <row r="58" spans="2:31" x14ac:dyDescent="0.25">
      <c r="B58" s="65" t="s">
        <v>72</v>
      </c>
      <c r="C58" s="65"/>
      <c r="D58" s="65"/>
      <c r="E58" s="65"/>
      <c r="F58" s="38"/>
      <c r="G58" s="65" t="s">
        <v>46</v>
      </c>
      <c r="H58" s="65"/>
      <c r="I58" s="44"/>
      <c r="J58" s="65" t="s">
        <v>52</v>
      </c>
      <c r="K58" s="65"/>
      <c r="S58" s="60" t="s">
        <v>74</v>
      </c>
      <c r="T58" s="60"/>
      <c r="U58" s="60"/>
      <c r="V58" s="60"/>
      <c r="W58" s="38"/>
      <c r="X58" s="60" t="s">
        <v>46</v>
      </c>
      <c r="Y58" s="60"/>
      <c r="Z58" s="44"/>
      <c r="AA58" s="60" t="s">
        <v>52</v>
      </c>
      <c r="AB58" s="60"/>
    </row>
    <row r="59" spans="2:31" x14ac:dyDescent="0.25">
      <c r="B59" s="44"/>
      <c r="C59" s="46"/>
      <c r="D59" s="46"/>
      <c r="S59" s="44"/>
      <c r="T59" s="46"/>
      <c r="U59" s="46"/>
    </row>
    <row r="60" spans="2:31" x14ac:dyDescent="0.25">
      <c r="B60" s="47" t="s">
        <v>43</v>
      </c>
      <c r="C60" s="43" t="s">
        <v>44</v>
      </c>
      <c r="D60" s="43" t="s">
        <v>45</v>
      </c>
      <c r="G60" s="43" t="s">
        <v>44</v>
      </c>
      <c r="H60" s="43" t="s">
        <v>45</v>
      </c>
      <c r="J60" s="28" t="s">
        <v>53</v>
      </c>
      <c r="K60" s="21">
        <f>N60</f>
        <v>-0.62813064955225784</v>
      </c>
      <c r="M60" t="s">
        <v>47</v>
      </c>
      <c r="N60" s="21">
        <f>SLOPE(H62:H106,D62:D106)</f>
        <v>-0.62813064955225784</v>
      </c>
      <c r="S60" s="47" t="s">
        <v>43</v>
      </c>
      <c r="T60" s="43" t="s">
        <v>44</v>
      </c>
      <c r="U60" s="43" t="s">
        <v>45</v>
      </c>
      <c r="X60" s="43" t="s">
        <v>44</v>
      </c>
      <c r="Y60" s="43" t="s">
        <v>45</v>
      </c>
      <c r="AA60" s="28" t="s">
        <v>53</v>
      </c>
      <c r="AB60" s="21">
        <f>AE60</f>
        <v>1.8476894075069861E-2</v>
      </c>
      <c r="AD60" t="s">
        <v>47</v>
      </c>
      <c r="AE60">
        <f>SLOPE(Y62:Y106,U62:U106)</f>
        <v>1.8476894075069861E-2</v>
      </c>
    </row>
    <row r="61" spans="2:31" x14ac:dyDescent="0.25">
      <c r="B61" s="61">
        <v>46023</v>
      </c>
      <c r="C61" s="62">
        <v>158.44999999999999</v>
      </c>
      <c r="G61" s="51">
        <v>23054.400000000001</v>
      </c>
      <c r="J61" t="s">
        <v>54</v>
      </c>
      <c r="K61" s="50">
        <v>0.75</v>
      </c>
      <c r="S61" s="48">
        <v>46023</v>
      </c>
      <c r="T61" s="49">
        <v>863.65</v>
      </c>
      <c r="U61" s="63"/>
      <c r="X61" s="51">
        <v>23054.400000000001</v>
      </c>
      <c r="AA61" t="s">
        <v>54</v>
      </c>
      <c r="AB61" s="50">
        <v>0.75</v>
      </c>
    </row>
    <row r="62" spans="2:31" x14ac:dyDescent="0.25">
      <c r="B62" s="61">
        <v>45992</v>
      </c>
      <c r="C62" s="62">
        <v>162.30000000000001</v>
      </c>
      <c r="D62" s="50">
        <f>C62/C61-1</f>
        <v>2.4297885768381322E-2</v>
      </c>
      <c r="G62" s="51">
        <v>24013.9</v>
      </c>
      <c r="H62" s="50">
        <f>G61/G62-1</f>
        <v>-3.995602546858279E-2</v>
      </c>
      <c r="S62" s="48">
        <v>45992</v>
      </c>
      <c r="T62" s="49">
        <v>862.05</v>
      </c>
      <c r="U62" s="50">
        <f>T62/T61-1</f>
        <v>-1.8526023273317538E-3</v>
      </c>
      <c r="X62" s="51">
        <v>24013.9</v>
      </c>
      <c r="Y62" s="50">
        <f>X61/X62-1</f>
        <v>-3.995602546858279E-2</v>
      </c>
    </row>
    <row r="63" spans="2:31" x14ac:dyDescent="0.25">
      <c r="B63" s="61">
        <v>45962</v>
      </c>
      <c r="C63" s="62">
        <v>165.75</v>
      </c>
      <c r="D63" s="50">
        <f t="shared" ref="D63:D106" si="4">C63/C62-1</f>
        <v>2.1256931608133023E-2</v>
      </c>
      <c r="G63" s="51">
        <v>24131.1</v>
      </c>
      <c r="H63" s="50">
        <f t="shared" ref="H63:H105" si="5">G62/G63-1</f>
        <v>-4.856803046690672E-3</v>
      </c>
      <c r="J63" t="s">
        <v>56</v>
      </c>
      <c r="K63" s="54">
        <v>1</v>
      </c>
      <c r="S63" s="48">
        <v>45962</v>
      </c>
      <c r="T63" s="49">
        <v>874.15</v>
      </c>
      <c r="U63" s="50">
        <f t="shared" ref="U63:U106" si="6">T63/T62-1</f>
        <v>1.4036308798793584E-2</v>
      </c>
      <c r="X63" s="51">
        <v>24131.1</v>
      </c>
      <c r="Y63" s="50">
        <f t="shared" ref="Y63:Y105" si="7">X62/X63-1</f>
        <v>-4.856803046690672E-3</v>
      </c>
      <c r="AA63" t="s">
        <v>56</v>
      </c>
      <c r="AB63" s="54">
        <v>1</v>
      </c>
    </row>
    <row r="64" spans="2:31" x14ac:dyDescent="0.25">
      <c r="B64" s="61">
        <v>45931</v>
      </c>
      <c r="C64" s="62">
        <v>168.2</v>
      </c>
      <c r="D64" s="50">
        <f t="shared" si="4"/>
        <v>1.4781297134238258E-2</v>
      </c>
      <c r="G64" s="51">
        <v>24205.35</v>
      </c>
      <c r="H64" s="50">
        <f t="shared" si="5"/>
        <v>-3.0675036717089377E-3</v>
      </c>
      <c r="J64" t="s">
        <v>55</v>
      </c>
      <c r="K64" s="50">
        <v>0.25</v>
      </c>
      <c r="S64" s="48">
        <v>45931</v>
      </c>
      <c r="T64" s="49">
        <v>845.3</v>
      </c>
      <c r="U64" s="50">
        <f t="shared" si="6"/>
        <v>-3.3003489103700767E-2</v>
      </c>
      <c r="X64" s="51">
        <v>24205.35</v>
      </c>
      <c r="Y64" s="50">
        <f t="shared" si="7"/>
        <v>-3.0675036717089377E-3</v>
      </c>
      <c r="AA64" t="s">
        <v>55</v>
      </c>
      <c r="AB64" s="50">
        <v>0.25</v>
      </c>
    </row>
    <row r="65" spans="2:28" x14ac:dyDescent="0.25">
      <c r="B65" s="61">
        <v>45901</v>
      </c>
      <c r="C65" s="62">
        <v>170.15</v>
      </c>
      <c r="D65" s="50">
        <f t="shared" si="4"/>
        <v>1.1593341260404344E-2</v>
      </c>
      <c r="G65" s="51">
        <v>25810.400000000001</v>
      </c>
      <c r="H65" s="50">
        <f t="shared" si="5"/>
        <v>-6.2186173015528756E-2</v>
      </c>
      <c r="S65" s="48">
        <v>45901</v>
      </c>
      <c r="T65" s="49">
        <v>858.95</v>
      </c>
      <c r="U65" s="50">
        <f t="shared" si="6"/>
        <v>1.614811309594244E-2</v>
      </c>
      <c r="X65" s="51">
        <v>25810.400000000001</v>
      </c>
      <c r="Y65" s="50">
        <f t="shared" si="7"/>
        <v>-6.2186173015528756E-2</v>
      </c>
    </row>
    <row r="66" spans="2:28" x14ac:dyDescent="0.25">
      <c r="B66" s="61">
        <v>45870</v>
      </c>
      <c r="C66" s="62">
        <v>174.5</v>
      </c>
      <c r="D66" s="50">
        <f t="shared" si="4"/>
        <v>2.5565677343520443E-2</v>
      </c>
      <c r="G66" s="51">
        <v>25235.9</v>
      </c>
      <c r="H66" s="50">
        <f t="shared" si="5"/>
        <v>2.2765187688966959E-2</v>
      </c>
      <c r="J66" s="56" t="s">
        <v>57</v>
      </c>
      <c r="K66" s="57">
        <f>(K60*K61)+(K63*K64)</f>
        <v>-0.22109798716419338</v>
      </c>
      <c r="S66" s="48">
        <v>45870</v>
      </c>
      <c r="T66" s="49">
        <v>872.1</v>
      </c>
      <c r="U66" s="50">
        <f t="shared" si="6"/>
        <v>1.530938937074322E-2</v>
      </c>
      <c r="X66" s="51">
        <v>25235.9</v>
      </c>
      <c r="Y66" s="50">
        <f t="shared" si="7"/>
        <v>2.2765187688966959E-2</v>
      </c>
      <c r="AA66" s="56" t="s">
        <v>57</v>
      </c>
      <c r="AB66" s="57">
        <f>(AB60*AB61)+(AB63*AB64)</f>
        <v>0.26385767055630238</v>
      </c>
    </row>
    <row r="67" spans="2:28" x14ac:dyDescent="0.25">
      <c r="B67" s="61">
        <v>45839</v>
      </c>
      <c r="C67" s="62">
        <v>171.25</v>
      </c>
      <c r="D67" s="50">
        <f t="shared" si="4"/>
        <v>-1.8624641833810851E-2</v>
      </c>
      <c r="G67" s="51">
        <v>24951.15</v>
      </c>
      <c r="H67" s="50">
        <f t="shared" si="5"/>
        <v>1.141229963348378E-2</v>
      </c>
      <c r="S67" s="48">
        <v>45839</v>
      </c>
      <c r="T67" s="49">
        <v>860.8</v>
      </c>
      <c r="U67" s="50">
        <f t="shared" si="6"/>
        <v>-1.2957229675496063E-2</v>
      </c>
      <c r="X67" s="51">
        <v>24951.15</v>
      </c>
      <c r="Y67" s="50">
        <f t="shared" si="7"/>
        <v>1.141229963348378E-2</v>
      </c>
    </row>
    <row r="68" spans="2:28" x14ac:dyDescent="0.25">
      <c r="B68" s="61">
        <v>45809</v>
      </c>
      <c r="C68" s="62">
        <v>168.9</v>
      </c>
      <c r="D68" s="50">
        <f t="shared" si="4"/>
        <v>-1.3722627737226212E-2</v>
      </c>
      <c r="G68" s="51">
        <v>24010.6</v>
      </c>
      <c r="H68" s="50">
        <f t="shared" si="5"/>
        <v>3.917228224200997E-2</v>
      </c>
      <c r="S68" s="48">
        <v>45809</v>
      </c>
      <c r="T68" s="49">
        <v>815.2</v>
      </c>
      <c r="U68" s="50">
        <f t="shared" si="6"/>
        <v>-5.2973977695167207E-2</v>
      </c>
      <c r="X68" s="51">
        <v>24010.6</v>
      </c>
      <c r="Y68" s="50">
        <f t="shared" si="7"/>
        <v>3.917228224200997E-2</v>
      </c>
    </row>
    <row r="69" spans="2:28" x14ac:dyDescent="0.25">
      <c r="B69" s="61">
        <v>45778</v>
      </c>
      <c r="C69" s="62">
        <v>165.4</v>
      </c>
      <c r="D69" s="50">
        <f t="shared" si="4"/>
        <v>-2.0722320899940749E-2</v>
      </c>
      <c r="G69" s="51">
        <v>22530.7</v>
      </c>
      <c r="H69" s="50">
        <f t="shared" si="5"/>
        <v>6.5683711558007341E-2</v>
      </c>
      <c r="S69" s="48">
        <v>45778</v>
      </c>
      <c r="T69" s="49">
        <v>785.15</v>
      </c>
      <c r="U69" s="50">
        <f t="shared" si="6"/>
        <v>-3.686211972522091E-2</v>
      </c>
      <c r="X69" s="51">
        <v>22530.7</v>
      </c>
      <c r="Y69" s="50">
        <f t="shared" si="7"/>
        <v>6.5683711558007341E-2</v>
      </c>
    </row>
    <row r="70" spans="2:28" x14ac:dyDescent="0.25">
      <c r="B70" s="61">
        <v>45748</v>
      </c>
      <c r="C70" s="62">
        <v>162.80000000000001</v>
      </c>
      <c r="D70" s="50">
        <f t="shared" si="4"/>
        <v>-1.5719467956469169E-2</v>
      </c>
      <c r="G70" s="51">
        <v>22604.85</v>
      </c>
      <c r="H70" s="50">
        <f t="shared" si="5"/>
        <v>-3.2802694996869608E-3</v>
      </c>
      <c r="S70" s="48">
        <v>45748</v>
      </c>
      <c r="T70" s="49">
        <v>822.9</v>
      </c>
      <c r="U70" s="50">
        <f t="shared" si="6"/>
        <v>4.8079984716296265E-2</v>
      </c>
      <c r="X70" s="51">
        <v>22604.85</v>
      </c>
      <c r="Y70" s="50">
        <f t="shared" si="7"/>
        <v>-3.2802694996869608E-3</v>
      </c>
    </row>
    <row r="71" spans="2:28" x14ac:dyDescent="0.25">
      <c r="B71" s="61">
        <v>45717</v>
      </c>
      <c r="C71" s="62">
        <v>159.15</v>
      </c>
      <c r="D71" s="50">
        <f t="shared" si="4"/>
        <v>-2.2420147420147418E-2</v>
      </c>
      <c r="G71" s="51">
        <v>22326.9</v>
      </c>
      <c r="H71" s="50">
        <f t="shared" si="5"/>
        <v>1.2449108474530624E-2</v>
      </c>
      <c r="S71" s="48">
        <v>45717</v>
      </c>
      <c r="T71" s="49">
        <v>805.45</v>
      </c>
      <c r="U71" s="50">
        <f t="shared" si="6"/>
        <v>-2.1205492769473699E-2</v>
      </c>
      <c r="X71" s="51">
        <v>22326.9</v>
      </c>
      <c r="Y71" s="50">
        <f t="shared" si="7"/>
        <v>1.2449108474530624E-2</v>
      </c>
    </row>
    <row r="72" spans="2:28" x14ac:dyDescent="0.25">
      <c r="B72" s="61">
        <v>45689</v>
      </c>
      <c r="C72" s="62">
        <v>155.6</v>
      </c>
      <c r="D72" s="50">
        <f t="shared" si="4"/>
        <v>-2.2306000628338096E-2</v>
      </c>
      <c r="G72" s="51">
        <v>21982.799999999999</v>
      </c>
      <c r="H72" s="50">
        <f t="shared" si="5"/>
        <v>1.5653147005840973E-2</v>
      </c>
      <c r="S72" s="48">
        <v>45689</v>
      </c>
      <c r="T72" s="49">
        <v>798.6</v>
      </c>
      <c r="U72" s="50">
        <f t="shared" si="6"/>
        <v>-8.5045626668321939E-3</v>
      </c>
      <c r="X72" s="51">
        <v>21982.799999999999</v>
      </c>
      <c r="Y72" s="50">
        <f t="shared" si="7"/>
        <v>1.5653147005840973E-2</v>
      </c>
    </row>
    <row r="73" spans="2:28" x14ac:dyDescent="0.25">
      <c r="B73" s="61">
        <v>45658</v>
      </c>
      <c r="C73" s="62">
        <v>152.30000000000001</v>
      </c>
      <c r="D73" s="50">
        <f t="shared" si="4"/>
        <v>-2.120822622107954E-2</v>
      </c>
      <c r="G73" s="51">
        <v>21697.45</v>
      </c>
      <c r="H73" s="50">
        <f t="shared" si="5"/>
        <v>1.3151315016280751E-2</v>
      </c>
      <c r="S73" s="48">
        <v>45658</v>
      </c>
      <c r="T73" s="49">
        <v>815.7</v>
      </c>
      <c r="U73" s="50">
        <f t="shared" si="6"/>
        <v>2.1412471825694945E-2</v>
      </c>
      <c r="X73" s="51">
        <v>21697.45</v>
      </c>
      <c r="Y73" s="50">
        <f t="shared" si="7"/>
        <v>1.3151315016280751E-2</v>
      </c>
    </row>
    <row r="74" spans="2:28" x14ac:dyDescent="0.25">
      <c r="B74" s="61">
        <v>45627</v>
      </c>
      <c r="C74" s="62">
        <v>148.75</v>
      </c>
      <c r="D74" s="50">
        <f t="shared" si="4"/>
        <v>-2.3309258043335612E-2</v>
      </c>
      <c r="G74" s="51">
        <v>21731.4</v>
      </c>
      <c r="H74" s="50">
        <f t="shared" si="5"/>
        <v>-1.5622555380693237E-3</v>
      </c>
      <c r="S74" s="48">
        <v>45627</v>
      </c>
      <c r="T74" s="49">
        <v>842.25</v>
      </c>
      <c r="U74" s="50">
        <f t="shared" si="6"/>
        <v>3.2548731151158528E-2</v>
      </c>
      <c r="X74" s="51">
        <v>21731.4</v>
      </c>
      <c r="Y74" s="50">
        <f t="shared" si="7"/>
        <v>-1.5622555380693237E-3</v>
      </c>
    </row>
    <row r="75" spans="2:28" x14ac:dyDescent="0.25">
      <c r="B75" s="61">
        <v>45597</v>
      </c>
      <c r="C75" s="62">
        <v>145.19999999999999</v>
      </c>
      <c r="D75" s="50">
        <f t="shared" si="4"/>
        <v>-2.3865546218487466E-2</v>
      </c>
      <c r="G75" s="51">
        <v>20133.150000000001</v>
      </c>
      <c r="H75" s="50">
        <f t="shared" si="5"/>
        <v>7.9384001013254268E-2</v>
      </c>
      <c r="S75" s="48">
        <v>45597</v>
      </c>
      <c r="T75" s="49">
        <v>828.1</v>
      </c>
      <c r="U75" s="50">
        <f t="shared" si="6"/>
        <v>-1.6800237459186684E-2</v>
      </c>
      <c r="X75" s="51">
        <v>20133.150000000001</v>
      </c>
      <c r="Y75" s="50">
        <f t="shared" si="7"/>
        <v>7.9384001013254268E-2</v>
      </c>
    </row>
    <row r="76" spans="2:28" x14ac:dyDescent="0.25">
      <c r="B76" s="61">
        <v>45566</v>
      </c>
      <c r="C76" s="62">
        <v>142.6</v>
      </c>
      <c r="D76" s="50">
        <f t="shared" si="4"/>
        <v>-1.7906336088154284E-2</v>
      </c>
      <c r="G76" s="51">
        <v>19079.599999999999</v>
      </c>
      <c r="H76" s="50">
        <f t="shared" si="5"/>
        <v>5.5218662865049728E-2</v>
      </c>
      <c r="S76" s="48">
        <v>45566</v>
      </c>
      <c r="T76" s="49">
        <v>815.3</v>
      </c>
      <c r="U76" s="50">
        <f t="shared" si="6"/>
        <v>-1.5457070402125406E-2</v>
      </c>
      <c r="X76" s="51">
        <v>19079.599999999999</v>
      </c>
      <c r="Y76" s="50">
        <f t="shared" si="7"/>
        <v>5.5218662865049728E-2</v>
      </c>
    </row>
    <row r="77" spans="2:28" x14ac:dyDescent="0.25">
      <c r="B77" s="61">
        <v>45536</v>
      </c>
      <c r="C77" s="62">
        <v>139.15</v>
      </c>
      <c r="D77" s="50">
        <f t="shared" si="4"/>
        <v>-2.4193548387096642E-2</v>
      </c>
      <c r="G77" s="51">
        <v>19638.3</v>
      </c>
      <c r="H77" s="50">
        <f t="shared" si="5"/>
        <v>-2.844950937708457E-2</v>
      </c>
      <c r="S77" s="48">
        <v>45536</v>
      </c>
      <c r="T77" s="49">
        <v>845.45</v>
      </c>
      <c r="U77" s="50">
        <f t="shared" si="6"/>
        <v>3.6980252667729863E-2</v>
      </c>
      <c r="X77" s="51">
        <v>19638.3</v>
      </c>
      <c r="Y77" s="50">
        <f t="shared" si="7"/>
        <v>-2.844950937708457E-2</v>
      </c>
    </row>
    <row r="78" spans="2:28" x14ac:dyDescent="0.25">
      <c r="B78" s="61">
        <v>45505</v>
      </c>
      <c r="C78" s="62">
        <v>135.4</v>
      </c>
      <c r="D78" s="50">
        <f t="shared" si="4"/>
        <v>-2.6949335249730533E-2</v>
      </c>
      <c r="G78" s="51">
        <v>19253.8</v>
      </c>
      <c r="H78" s="50">
        <f t="shared" si="5"/>
        <v>1.9970083827608009E-2</v>
      </c>
      <c r="S78" s="48">
        <v>45505</v>
      </c>
      <c r="T78" s="49">
        <v>862.1</v>
      </c>
      <c r="U78" s="50">
        <f t="shared" si="6"/>
        <v>1.9693654266958349E-2</v>
      </c>
      <c r="X78" s="51">
        <v>19253.8</v>
      </c>
      <c r="Y78" s="50">
        <f t="shared" si="7"/>
        <v>1.9970083827608009E-2</v>
      </c>
    </row>
    <row r="79" spans="2:28" x14ac:dyDescent="0.25">
      <c r="B79" s="61">
        <v>45474</v>
      </c>
      <c r="C79" s="62">
        <v>132.80000000000001</v>
      </c>
      <c r="D79" s="50">
        <f t="shared" si="4"/>
        <v>-1.9202363367799125E-2</v>
      </c>
      <c r="G79" s="51">
        <v>19753.8</v>
      </c>
      <c r="H79" s="50">
        <f t="shared" si="5"/>
        <v>-2.5311585618969512E-2</v>
      </c>
      <c r="S79" s="48">
        <v>45474</v>
      </c>
      <c r="T79" s="49">
        <v>835.4</v>
      </c>
      <c r="U79" s="50">
        <f t="shared" si="6"/>
        <v>-3.0970885048138275E-2</v>
      </c>
      <c r="X79" s="51">
        <v>19753.8</v>
      </c>
      <c r="Y79" s="50">
        <f t="shared" si="7"/>
        <v>-2.5311585618969512E-2</v>
      </c>
    </row>
    <row r="80" spans="2:28" x14ac:dyDescent="0.25">
      <c r="B80" s="61">
        <v>45444</v>
      </c>
      <c r="C80" s="62">
        <v>129.5</v>
      </c>
      <c r="D80" s="50">
        <f t="shared" si="4"/>
        <v>-2.4849397590361533E-2</v>
      </c>
      <c r="G80" s="51">
        <v>19189.05</v>
      </c>
      <c r="H80" s="50">
        <f t="shared" si="5"/>
        <v>2.9430847280089489E-2</v>
      </c>
      <c r="S80" s="48">
        <v>45444</v>
      </c>
      <c r="T80" s="49">
        <v>810.15</v>
      </c>
      <c r="U80" s="50">
        <f t="shared" si="6"/>
        <v>-3.0225041896097649E-2</v>
      </c>
      <c r="X80" s="51">
        <v>19189.05</v>
      </c>
      <c r="Y80" s="50">
        <f t="shared" si="7"/>
        <v>2.9430847280089489E-2</v>
      </c>
    </row>
    <row r="81" spans="2:25" x14ac:dyDescent="0.25">
      <c r="B81" s="61">
        <v>45413</v>
      </c>
      <c r="C81" s="62">
        <v>126.15</v>
      </c>
      <c r="D81" s="50">
        <f t="shared" si="4"/>
        <v>-2.5868725868725795E-2</v>
      </c>
      <c r="G81" s="51">
        <v>18534.400000000001</v>
      </c>
      <c r="H81" s="50">
        <f t="shared" si="5"/>
        <v>3.5320808874309328E-2</v>
      </c>
      <c r="S81" s="48">
        <v>45413</v>
      </c>
      <c r="T81" s="49">
        <v>795.3</v>
      </c>
      <c r="U81" s="50">
        <f t="shared" si="6"/>
        <v>-1.8329938900203735E-2</v>
      </c>
      <c r="X81" s="51">
        <v>18534.400000000001</v>
      </c>
      <c r="Y81" s="50">
        <f t="shared" si="7"/>
        <v>3.5320808874309328E-2</v>
      </c>
    </row>
    <row r="82" spans="2:25" x14ac:dyDescent="0.25">
      <c r="B82" s="61">
        <v>45383</v>
      </c>
      <c r="C82" s="62">
        <v>123.4</v>
      </c>
      <c r="D82" s="50">
        <f t="shared" si="4"/>
        <v>-2.1799445105033732E-2</v>
      </c>
      <c r="G82" s="51">
        <v>18065</v>
      </c>
      <c r="H82" s="50">
        <f t="shared" si="5"/>
        <v>2.5983946858566309E-2</v>
      </c>
      <c r="S82" s="48">
        <v>45383</v>
      </c>
      <c r="T82" s="49">
        <v>825.15</v>
      </c>
      <c r="U82" s="50">
        <f t="shared" si="6"/>
        <v>3.753300641267443E-2</v>
      </c>
      <c r="X82" s="51">
        <v>18065</v>
      </c>
      <c r="Y82" s="50">
        <f t="shared" si="7"/>
        <v>2.5983946858566309E-2</v>
      </c>
    </row>
    <row r="83" spans="2:25" x14ac:dyDescent="0.25">
      <c r="B83" s="61">
        <v>45352</v>
      </c>
      <c r="C83" s="62">
        <v>120.75</v>
      </c>
      <c r="D83" s="50">
        <f t="shared" si="4"/>
        <v>-2.1474878444084355E-2</v>
      </c>
      <c r="G83" s="51">
        <v>17359.75</v>
      </c>
      <c r="H83" s="50">
        <f t="shared" si="5"/>
        <v>4.0625585045867663E-2</v>
      </c>
      <c r="S83" s="48">
        <v>45352</v>
      </c>
      <c r="T83" s="49">
        <v>840.4</v>
      </c>
      <c r="U83" s="50">
        <f t="shared" si="6"/>
        <v>1.8481488214264097E-2</v>
      </c>
      <c r="X83" s="51">
        <v>17359.75</v>
      </c>
      <c r="Y83" s="50">
        <f t="shared" si="7"/>
        <v>4.0625585045867663E-2</v>
      </c>
    </row>
    <row r="84" spans="2:25" x14ac:dyDescent="0.25">
      <c r="B84" s="61">
        <v>45323</v>
      </c>
      <c r="C84" s="62">
        <v>118.3</v>
      </c>
      <c r="D84" s="50">
        <f t="shared" si="4"/>
        <v>-2.0289855072463836E-2</v>
      </c>
      <c r="G84" s="51">
        <v>17303.95</v>
      </c>
      <c r="H84" s="50">
        <f t="shared" si="5"/>
        <v>3.2246972512055549E-3</v>
      </c>
      <c r="S84" s="48">
        <v>45323</v>
      </c>
      <c r="T84" s="49">
        <v>812.25</v>
      </c>
      <c r="U84" s="50">
        <f t="shared" si="6"/>
        <v>-3.3495954307472653E-2</v>
      </c>
      <c r="X84" s="51">
        <v>17303.95</v>
      </c>
      <c r="Y84" s="50">
        <f t="shared" si="7"/>
        <v>3.2246972512055549E-3</v>
      </c>
    </row>
    <row r="85" spans="2:25" x14ac:dyDescent="0.25">
      <c r="B85" s="61">
        <v>45292</v>
      </c>
      <c r="C85" s="62">
        <v>115.9</v>
      </c>
      <c r="D85" s="50">
        <f t="shared" si="4"/>
        <v>-2.0287404902789463E-2</v>
      </c>
      <c r="G85" s="51">
        <v>17662.150000000001</v>
      </c>
      <c r="H85" s="50">
        <f t="shared" si="5"/>
        <v>-2.0280656658447582E-2</v>
      </c>
      <c r="S85" s="48">
        <v>45292</v>
      </c>
      <c r="T85" s="49">
        <v>785.6</v>
      </c>
      <c r="U85" s="50">
        <f t="shared" si="6"/>
        <v>-3.2810095413973506E-2</v>
      </c>
      <c r="X85" s="51">
        <v>17662.150000000001</v>
      </c>
      <c r="Y85" s="50">
        <f t="shared" si="7"/>
        <v>-2.0280656658447582E-2</v>
      </c>
    </row>
    <row r="86" spans="2:25" x14ac:dyDescent="0.25">
      <c r="B86" s="61">
        <v>45261</v>
      </c>
      <c r="C86" s="62">
        <v>112.45</v>
      </c>
      <c r="D86" s="50">
        <f t="shared" si="4"/>
        <v>-2.9767040552200141E-2</v>
      </c>
      <c r="G86" s="51">
        <v>18105.3</v>
      </c>
      <c r="H86" s="50">
        <f t="shared" si="5"/>
        <v>-2.4476258333195111E-2</v>
      </c>
      <c r="S86" s="48">
        <v>45261</v>
      </c>
      <c r="T86" s="49">
        <v>710.15</v>
      </c>
      <c r="U86" s="50">
        <f t="shared" si="6"/>
        <v>-9.6041242362525536E-2</v>
      </c>
      <c r="X86" s="51">
        <v>18105.3</v>
      </c>
      <c r="Y86" s="50">
        <f t="shared" si="7"/>
        <v>-2.4476258333195111E-2</v>
      </c>
    </row>
    <row r="87" spans="2:25" x14ac:dyDescent="0.25">
      <c r="B87" s="61">
        <v>45231</v>
      </c>
      <c r="C87" s="62">
        <v>109.8</v>
      </c>
      <c r="D87" s="50">
        <f t="shared" si="4"/>
        <v>-2.3566029346376194E-2</v>
      </c>
      <c r="G87" s="51">
        <v>18758.349999999999</v>
      </c>
      <c r="H87" s="50">
        <f t="shared" si="5"/>
        <v>-3.4813829574562805E-2</v>
      </c>
      <c r="S87" s="48">
        <v>45231</v>
      </c>
      <c r="T87" s="49">
        <v>645.29999999999995</v>
      </c>
      <c r="U87" s="50">
        <f t="shared" si="6"/>
        <v>-9.1318735478420066E-2</v>
      </c>
      <c r="X87" s="51">
        <v>18758.349999999999</v>
      </c>
      <c r="Y87" s="50">
        <f t="shared" si="7"/>
        <v>-3.4813829574562805E-2</v>
      </c>
    </row>
    <row r="88" spans="2:25" x14ac:dyDescent="0.25">
      <c r="B88" s="61">
        <v>45200</v>
      </c>
      <c r="C88" s="62">
        <v>107.15</v>
      </c>
      <c r="D88" s="50">
        <f t="shared" si="4"/>
        <v>-2.4134790528233085E-2</v>
      </c>
      <c r="G88" s="51">
        <v>18012.2</v>
      </c>
      <c r="H88" s="50">
        <f t="shared" si="5"/>
        <v>4.1424701035964295E-2</v>
      </c>
      <c r="S88" s="48">
        <v>45200</v>
      </c>
      <c r="T88" s="49">
        <v>585.15</v>
      </c>
      <c r="U88" s="50">
        <f t="shared" si="6"/>
        <v>-9.3212459321245889E-2</v>
      </c>
      <c r="X88" s="51">
        <v>18012.2</v>
      </c>
      <c r="Y88" s="50">
        <f t="shared" si="7"/>
        <v>4.1424701035964295E-2</v>
      </c>
    </row>
    <row r="89" spans="2:25" x14ac:dyDescent="0.25">
      <c r="B89" s="61">
        <v>45170</v>
      </c>
      <c r="C89" s="62">
        <v>104.6</v>
      </c>
      <c r="D89" s="50">
        <f t="shared" si="4"/>
        <v>-2.379841343910416E-2</v>
      </c>
      <c r="G89" s="51">
        <v>17094.349999999999</v>
      </c>
      <c r="H89" s="50">
        <f t="shared" si="5"/>
        <v>5.3693179325332796E-2</v>
      </c>
      <c r="S89" s="48">
        <v>45170</v>
      </c>
      <c r="T89" s="49">
        <v>560.4</v>
      </c>
      <c r="U89" s="50">
        <f t="shared" si="6"/>
        <v>-4.2296846962317391E-2</v>
      </c>
      <c r="X89" s="51">
        <v>17094.349999999999</v>
      </c>
      <c r="Y89" s="50">
        <f t="shared" si="7"/>
        <v>5.3693179325332796E-2</v>
      </c>
    </row>
    <row r="90" spans="2:25" x14ac:dyDescent="0.25">
      <c r="B90" s="61">
        <v>45139</v>
      </c>
      <c r="C90" s="62">
        <v>102.25</v>
      </c>
      <c r="D90" s="50">
        <f t="shared" si="4"/>
        <v>-2.2466539196940638E-2</v>
      </c>
      <c r="G90" s="51">
        <v>17759.3</v>
      </c>
      <c r="H90" s="50">
        <f t="shared" si="5"/>
        <v>-3.7442354146841383E-2</v>
      </c>
      <c r="S90" s="48">
        <v>45139</v>
      </c>
      <c r="T90" s="49">
        <v>545.25</v>
      </c>
      <c r="U90" s="50">
        <f t="shared" si="6"/>
        <v>-2.7034261241969948E-2</v>
      </c>
      <c r="X90" s="51">
        <v>17759.3</v>
      </c>
      <c r="Y90" s="50">
        <f t="shared" si="7"/>
        <v>-3.7442354146841383E-2</v>
      </c>
    </row>
    <row r="91" spans="2:25" x14ac:dyDescent="0.25">
      <c r="B91" s="61">
        <v>45108</v>
      </c>
      <c r="C91" s="62">
        <v>99.8</v>
      </c>
      <c r="D91" s="50">
        <f t="shared" si="4"/>
        <v>-2.3960880195599055E-2</v>
      </c>
      <c r="G91" s="51">
        <v>17158.25</v>
      </c>
      <c r="H91" s="50">
        <f t="shared" si="5"/>
        <v>3.5029796162195925E-2</v>
      </c>
      <c r="S91" s="48">
        <v>45108</v>
      </c>
      <c r="T91" s="49">
        <v>495.1</v>
      </c>
      <c r="U91" s="50">
        <f t="shared" si="6"/>
        <v>-9.1976157725813801E-2</v>
      </c>
      <c r="X91" s="51">
        <v>17158.25</v>
      </c>
      <c r="Y91" s="50">
        <f t="shared" si="7"/>
        <v>3.5029796162195925E-2</v>
      </c>
    </row>
    <row r="92" spans="2:25" x14ac:dyDescent="0.25">
      <c r="B92" s="61">
        <v>45078</v>
      </c>
      <c r="C92" s="62">
        <v>97.45</v>
      </c>
      <c r="D92" s="50">
        <f t="shared" si="4"/>
        <v>-2.3547094188376749E-2</v>
      </c>
      <c r="G92" s="51">
        <v>15780.25</v>
      </c>
      <c r="H92" s="50">
        <f t="shared" si="5"/>
        <v>8.7324345305048956E-2</v>
      </c>
      <c r="S92" s="48">
        <v>45078</v>
      </c>
      <c r="T92" s="49">
        <v>460.3</v>
      </c>
      <c r="U92" s="50">
        <f t="shared" si="6"/>
        <v>-7.028883053928503E-2</v>
      </c>
      <c r="X92" s="51">
        <v>15780.25</v>
      </c>
      <c r="Y92" s="50">
        <f t="shared" si="7"/>
        <v>8.7324345305048956E-2</v>
      </c>
    </row>
    <row r="93" spans="2:25" x14ac:dyDescent="0.25">
      <c r="B93" s="61">
        <v>45047</v>
      </c>
      <c r="C93" s="62">
        <v>95.1</v>
      </c>
      <c r="D93" s="50">
        <f t="shared" si="4"/>
        <v>-2.4114930733709627E-2</v>
      </c>
      <c r="G93" s="51">
        <v>16584.55</v>
      </c>
      <c r="H93" s="50">
        <f t="shared" si="5"/>
        <v>-4.8496944445281853E-2</v>
      </c>
      <c r="S93" s="48">
        <v>45047</v>
      </c>
      <c r="T93" s="49">
        <v>415.85</v>
      </c>
      <c r="U93" s="50">
        <f t="shared" si="6"/>
        <v>-9.6567456006951935E-2</v>
      </c>
      <c r="X93" s="51">
        <v>16584.55</v>
      </c>
      <c r="Y93" s="50">
        <f t="shared" si="7"/>
        <v>-4.8496944445281853E-2</v>
      </c>
    </row>
    <row r="94" spans="2:25" x14ac:dyDescent="0.25">
      <c r="B94" s="61">
        <v>45017</v>
      </c>
      <c r="C94" s="62">
        <v>92.85</v>
      </c>
      <c r="D94" s="50">
        <f t="shared" si="4"/>
        <v>-2.3659305993690816E-2</v>
      </c>
      <c r="G94" s="51">
        <v>17102.55</v>
      </c>
      <c r="H94" s="50">
        <f t="shared" si="5"/>
        <v>-3.0287881046978327E-2</v>
      </c>
      <c r="S94" s="48">
        <v>45017</v>
      </c>
      <c r="T94" s="49">
        <v>380.2</v>
      </c>
      <c r="U94" s="50">
        <f t="shared" si="6"/>
        <v>-8.5728026932788359E-2</v>
      </c>
      <c r="X94" s="51">
        <v>17102.55</v>
      </c>
      <c r="Y94" s="50">
        <f t="shared" si="7"/>
        <v>-3.0287881046978327E-2</v>
      </c>
    </row>
    <row r="95" spans="2:25" x14ac:dyDescent="0.25">
      <c r="B95" s="61">
        <v>44986</v>
      </c>
      <c r="C95" s="62">
        <v>90.6</v>
      </c>
      <c r="D95" s="50">
        <f t="shared" si="4"/>
        <v>-2.4232633279482996E-2</v>
      </c>
      <c r="G95" s="51">
        <v>17464.75</v>
      </c>
      <c r="H95" s="50">
        <f t="shared" si="5"/>
        <v>-2.0738916961307807E-2</v>
      </c>
      <c r="S95" s="48">
        <v>44986</v>
      </c>
      <c r="T95" s="49">
        <v>365.1</v>
      </c>
      <c r="U95" s="50">
        <f t="shared" si="6"/>
        <v>-3.9715938979484444E-2</v>
      </c>
      <c r="X95" s="51">
        <v>17464.75</v>
      </c>
      <c r="Y95" s="50">
        <f t="shared" si="7"/>
        <v>-2.0738916961307807E-2</v>
      </c>
    </row>
    <row r="96" spans="2:25" x14ac:dyDescent="0.25">
      <c r="B96" s="61">
        <v>44958</v>
      </c>
      <c r="C96" s="62">
        <v>88.45</v>
      </c>
      <c r="D96" s="50">
        <f t="shared" si="4"/>
        <v>-2.3730684326710771E-2</v>
      </c>
      <c r="G96" s="51">
        <v>16793.900000000001</v>
      </c>
      <c r="H96" s="50">
        <f t="shared" si="5"/>
        <v>3.9946051840251462E-2</v>
      </c>
      <c r="S96" s="48">
        <v>44958</v>
      </c>
      <c r="T96" s="49">
        <v>358.45</v>
      </c>
      <c r="U96" s="50">
        <f t="shared" si="6"/>
        <v>-1.8214187893727862E-2</v>
      </c>
      <c r="X96" s="51">
        <v>16793.900000000001</v>
      </c>
      <c r="Y96" s="50">
        <f t="shared" si="7"/>
        <v>3.9946051840251462E-2</v>
      </c>
    </row>
    <row r="97" spans="2:25" x14ac:dyDescent="0.25">
      <c r="B97" s="61">
        <v>44927</v>
      </c>
      <c r="C97" s="62">
        <v>86.3</v>
      </c>
      <c r="D97" s="50">
        <f t="shared" si="4"/>
        <v>-2.4307518371961656E-2</v>
      </c>
      <c r="G97" s="51">
        <v>17339.849999999999</v>
      </c>
      <c r="H97" s="50">
        <f t="shared" si="5"/>
        <v>-3.1485278131010208E-2</v>
      </c>
      <c r="S97" s="48">
        <v>44927</v>
      </c>
      <c r="T97" s="49">
        <v>370.15</v>
      </c>
      <c r="U97" s="50">
        <f t="shared" si="6"/>
        <v>3.2640535639559154E-2</v>
      </c>
      <c r="X97" s="51">
        <v>17339.849999999999</v>
      </c>
      <c r="Y97" s="50">
        <f t="shared" si="7"/>
        <v>-3.1485278131010208E-2</v>
      </c>
    </row>
    <row r="98" spans="2:25" x14ac:dyDescent="0.25">
      <c r="B98" s="61">
        <v>44896</v>
      </c>
      <c r="C98" s="62">
        <v>84.15</v>
      </c>
      <c r="D98" s="50">
        <f t="shared" si="4"/>
        <v>-2.4913093858632607E-2</v>
      </c>
      <c r="G98" s="51">
        <v>17354.05</v>
      </c>
      <c r="H98" s="50">
        <f t="shared" si="5"/>
        <v>-8.1825279977876253E-4</v>
      </c>
      <c r="S98" s="48">
        <v>44896</v>
      </c>
      <c r="T98" s="49">
        <v>345.6</v>
      </c>
      <c r="U98" s="50">
        <f t="shared" si="6"/>
        <v>-6.6324463055517868E-2</v>
      </c>
      <c r="X98" s="51">
        <v>17354.05</v>
      </c>
      <c r="Y98" s="50">
        <f t="shared" si="7"/>
        <v>-8.1825279977876253E-4</v>
      </c>
    </row>
    <row r="99" spans="2:25" x14ac:dyDescent="0.25">
      <c r="B99" s="61">
        <v>44866</v>
      </c>
      <c r="C99" s="62">
        <v>82.05</v>
      </c>
      <c r="D99" s="50">
        <f t="shared" si="4"/>
        <v>-2.4955436720142665E-2</v>
      </c>
      <c r="G99" s="51">
        <v>16983.2</v>
      </c>
      <c r="H99" s="50">
        <f t="shared" si="5"/>
        <v>2.1836285270149247E-2</v>
      </c>
      <c r="S99" s="48">
        <v>44866</v>
      </c>
      <c r="T99" s="49">
        <v>360.15</v>
      </c>
      <c r="U99" s="50">
        <f t="shared" si="6"/>
        <v>4.210069444444442E-2</v>
      </c>
      <c r="X99" s="51">
        <v>16983.2</v>
      </c>
      <c r="Y99" s="50">
        <f t="shared" si="7"/>
        <v>2.1836285270149247E-2</v>
      </c>
    </row>
    <row r="100" spans="2:25" x14ac:dyDescent="0.25">
      <c r="B100" s="61">
        <v>44835</v>
      </c>
      <c r="C100" s="62">
        <v>79.900000000000006</v>
      </c>
      <c r="D100" s="50">
        <f t="shared" si="4"/>
        <v>-2.6203534430225384E-2</v>
      </c>
      <c r="G100" s="51">
        <v>17671.650000000001</v>
      </c>
      <c r="H100" s="50">
        <f t="shared" si="5"/>
        <v>-3.8957878862471818E-2</v>
      </c>
      <c r="S100" s="48">
        <v>44835</v>
      </c>
      <c r="T100" s="49">
        <v>355.45</v>
      </c>
      <c r="U100" s="50">
        <f t="shared" si="6"/>
        <v>-1.3050118006386224E-2</v>
      </c>
      <c r="X100" s="51">
        <v>17671.650000000001</v>
      </c>
      <c r="Y100" s="50">
        <f t="shared" si="7"/>
        <v>-3.8957878862471818E-2</v>
      </c>
    </row>
    <row r="101" spans="2:25" x14ac:dyDescent="0.25">
      <c r="B101" s="61">
        <v>44805</v>
      </c>
      <c r="C101" s="62">
        <v>77.849999999999994</v>
      </c>
      <c r="D101" s="50">
        <f t="shared" si="4"/>
        <v>-2.5657071339174053E-2</v>
      </c>
      <c r="G101" s="51">
        <v>17618.150000000001</v>
      </c>
      <c r="H101" s="50">
        <f t="shared" si="5"/>
        <v>3.0366411910445201E-3</v>
      </c>
      <c r="S101" s="48">
        <v>44805</v>
      </c>
      <c r="T101" s="49">
        <v>340.3</v>
      </c>
      <c r="U101" s="50">
        <f t="shared" si="6"/>
        <v>-4.2622028414685542E-2</v>
      </c>
      <c r="X101" s="51">
        <v>17618.150000000001</v>
      </c>
      <c r="Y101" s="50">
        <f t="shared" si="7"/>
        <v>3.0366411910445201E-3</v>
      </c>
    </row>
    <row r="102" spans="2:25" x14ac:dyDescent="0.25">
      <c r="B102" s="61">
        <v>44774</v>
      </c>
      <c r="C102" s="62">
        <v>75.8</v>
      </c>
      <c r="D102" s="50">
        <f t="shared" si="4"/>
        <v>-2.6332691072575409E-2</v>
      </c>
      <c r="G102" s="51">
        <v>17132.2</v>
      </c>
      <c r="H102" s="50">
        <f t="shared" si="5"/>
        <v>2.8364716732235173E-2</v>
      </c>
      <c r="S102" s="48">
        <v>44774</v>
      </c>
      <c r="T102" s="49">
        <v>325.14999999999998</v>
      </c>
      <c r="U102" s="50">
        <f t="shared" si="6"/>
        <v>-4.4519541580958055E-2</v>
      </c>
      <c r="X102" s="51">
        <v>17132.2</v>
      </c>
      <c r="Y102" s="50">
        <f t="shared" si="7"/>
        <v>2.8364716732235173E-2</v>
      </c>
    </row>
    <row r="103" spans="2:25" x14ac:dyDescent="0.25">
      <c r="B103" s="61">
        <v>44743</v>
      </c>
      <c r="C103" s="62">
        <v>73.75</v>
      </c>
      <c r="D103" s="50">
        <f t="shared" si="4"/>
        <v>-2.70448548812664E-2</v>
      </c>
      <c r="G103" s="51">
        <v>15763.05</v>
      </c>
      <c r="H103" s="50">
        <f t="shared" si="5"/>
        <v>8.6858190515160638E-2</v>
      </c>
      <c r="S103" s="48">
        <v>44743</v>
      </c>
      <c r="T103" s="49">
        <v>310.39999999999998</v>
      </c>
      <c r="U103" s="50">
        <f t="shared" si="6"/>
        <v>-4.5363678302322019E-2</v>
      </c>
      <c r="X103" s="51">
        <v>15763.05</v>
      </c>
      <c r="Y103" s="50">
        <f t="shared" si="7"/>
        <v>8.6858190515160638E-2</v>
      </c>
    </row>
    <row r="104" spans="2:25" x14ac:dyDescent="0.25">
      <c r="B104" s="61">
        <v>44713</v>
      </c>
      <c r="C104" s="62">
        <v>71.8</v>
      </c>
      <c r="D104" s="50">
        <f t="shared" si="4"/>
        <v>-2.6440677966101722E-2</v>
      </c>
      <c r="G104" s="51">
        <v>15721.5</v>
      </c>
      <c r="H104" s="50">
        <f t="shared" si="5"/>
        <v>2.6428775880162902E-3</v>
      </c>
      <c r="S104" s="48">
        <v>44713</v>
      </c>
      <c r="T104" s="49">
        <v>285.25</v>
      </c>
      <c r="U104" s="50">
        <f t="shared" si="6"/>
        <v>-8.1024484536082353E-2</v>
      </c>
      <c r="X104" s="51">
        <v>15721.5</v>
      </c>
      <c r="Y104" s="50">
        <f t="shared" si="7"/>
        <v>2.6428775880162902E-3</v>
      </c>
    </row>
    <row r="105" spans="2:25" x14ac:dyDescent="0.25">
      <c r="B105" s="61">
        <v>44682</v>
      </c>
      <c r="C105" s="62">
        <v>69.95</v>
      </c>
      <c r="D105" s="50">
        <f t="shared" si="4"/>
        <v>-2.5766016713091866E-2</v>
      </c>
      <c r="G105" s="51">
        <v>15582.8</v>
      </c>
      <c r="H105" s="50">
        <f t="shared" si="5"/>
        <v>8.9008393870164682E-3</v>
      </c>
      <c r="S105" s="48">
        <v>44682</v>
      </c>
      <c r="T105" s="49">
        <v>295.10000000000002</v>
      </c>
      <c r="U105" s="50">
        <f t="shared" si="6"/>
        <v>3.4531113058720475E-2</v>
      </c>
      <c r="X105" s="51">
        <v>15582.8</v>
      </c>
      <c r="Y105" s="50">
        <f t="shared" si="7"/>
        <v>8.9008393870164682E-3</v>
      </c>
    </row>
    <row r="106" spans="2:25" x14ac:dyDescent="0.25">
      <c r="B106" s="61">
        <v>44652</v>
      </c>
      <c r="C106" s="62">
        <v>68.099999999999994</v>
      </c>
      <c r="D106" s="50">
        <f t="shared" si="4"/>
        <v>-2.6447462473195293E-2</v>
      </c>
      <c r="G106" s="51">
        <v>14631.1</v>
      </c>
      <c r="H106" s="50">
        <f>G105/G106-1</f>
        <v>6.5046373820150105E-2</v>
      </c>
      <c r="S106" s="48">
        <v>44652</v>
      </c>
      <c r="T106" s="49">
        <v>315.3</v>
      </c>
      <c r="U106" s="50">
        <f t="shared" si="6"/>
        <v>6.8451372416129974E-2</v>
      </c>
      <c r="X106" s="51">
        <v>14631.1</v>
      </c>
      <c r="Y106" s="50">
        <f>X105/X106-1</f>
        <v>6.5046373820150105E-2</v>
      </c>
    </row>
    <row r="107" spans="2:25" x14ac:dyDescent="0.25">
      <c r="B107" s="61"/>
      <c r="C107" s="62"/>
      <c r="D107" s="50"/>
      <c r="G107" s="64"/>
      <c r="H107" s="50"/>
      <c r="S107" s="48"/>
      <c r="T107" s="49"/>
      <c r="U107" s="50"/>
    </row>
    <row r="108" spans="2:25" x14ac:dyDescent="0.25">
      <c r="B108" s="61"/>
      <c r="C108" s="62"/>
      <c r="D108" s="50"/>
      <c r="G108" s="64"/>
      <c r="H108" s="50"/>
      <c r="S108" s="48"/>
      <c r="T108" s="49"/>
      <c r="U108" s="50"/>
    </row>
    <row r="109" spans="2:25" x14ac:dyDescent="0.25">
      <c r="B109" s="61"/>
      <c r="C109" s="62"/>
      <c r="D109" s="50"/>
      <c r="S109" s="48"/>
      <c r="T109" s="49"/>
      <c r="U109" s="50"/>
    </row>
    <row r="110" spans="2:25" x14ac:dyDescent="0.25">
      <c r="B110" s="61"/>
      <c r="C110" s="62"/>
      <c r="D110" s="50"/>
      <c r="S110" s="48"/>
      <c r="T110" s="49"/>
      <c r="U110" s="50"/>
    </row>
    <row r="111" spans="2:25" x14ac:dyDescent="0.25">
      <c r="B111" s="61"/>
      <c r="C111" s="62"/>
      <c r="D111" s="50"/>
      <c r="S111" s="48"/>
      <c r="T111" s="49"/>
      <c r="U111" s="50"/>
    </row>
    <row r="112" spans="2:25" x14ac:dyDescent="0.25">
      <c r="B112" s="61"/>
      <c r="C112" s="62"/>
      <c r="D112" s="50"/>
      <c r="S112" s="48"/>
      <c r="T112" s="49"/>
      <c r="U112" s="50"/>
    </row>
    <row r="113" spans="2:21" x14ac:dyDescent="0.25">
      <c r="B113" s="61"/>
      <c r="C113" s="62"/>
      <c r="D113" s="50"/>
      <c r="S113" s="48"/>
      <c r="T113" s="49"/>
      <c r="U113" s="50"/>
    </row>
    <row r="114" spans="2:21" x14ac:dyDescent="0.25">
      <c r="B114" s="61"/>
      <c r="C114" s="62"/>
      <c r="D114" s="50"/>
      <c r="S114" s="48"/>
      <c r="T114" s="49"/>
      <c r="U114" s="50"/>
    </row>
    <row r="115" spans="2:21" x14ac:dyDescent="0.25">
      <c r="B115" s="61"/>
      <c r="C115" s="62"/>
      <c r="D115" s="50"/>
      <c r="S115" s="48"/>
      <c r="T115" s="49"/>
      <c r="U115" s="50"/>
    </row>
    <row r="116" spans="2:21" x14ac:dyDescent="0.25">
      <c r="B116" s="61"/>
      <c r="C116" s="62"/>
      <c r="D116" s="50"/>
      <c r="S116" s="48"/>
      <c r="T116" s="49"/>
      <c r="U116" s="50"/>
    </row>
    <row r="117" spans="2:21" x14ac:dyDescent="0.25">
      <c r="B117" s="61"/>
      <c r="C117" s="62"/>
      <c r="D117" s="50"/>
      <c r="S117" s="48"/>
      <c r="T117" s="49"/>
      <c r="U117" s="50"/>
    </row>
    <row r="118" spans="2:21" x14ac:dyDescent="0.25">
      <c r="B118" s="61"/>
      <c r="C118" s="62"/>
      <c r="D118" s="50"/>
      <c r="S118" s="48"/>
      <c r="T118" s="49"/>
      <c r="U118" s="50"/>
    </row>
    <row r="119" spans="2:21" x14ac:dyDescent="0.25">
      <c r="B119" s="61"/>
      <c r="C119" s="62"/>
      <c r="D119" s="50"/>
      <c r="S119" s="48"/>
      <c r="T119" s="49"/>
      <c r="U119" s="50"/>
    </row>
    <row r="120" spans="2:21" x14ac:dyDescent="0.25">
      <c r="B120" s="61"/>
      <c r="C120" s="62"/>
      <c r="D120" s="50"/>
      <c r="S120" s="48"/>
      <c r="T120" s="49"/>
      <c r="U120" s="50"/>
    </row>
    <row r="121" spans="2:21" x14ac:dyDescent="0.25">
      <c r="B121" s="52"/>
      <c r="C121" s="53"/>
    </row>
    <row r="122" spans="2:21" x14ac:dyDescent="0.25">
      <c r="B122" s="52"/>
      <c r="C122" s="53"/>
    </row>
    <row r="123" spans="2:21" x14ac:dyDescent="0.25">
      <c r="B123" s="52"/>
      <c r="C123" s="53"/>
    </row>
    <row r="124" spans="2:21" x14ac:dyDescent="0.25">
      <c r="B124" s="52"/>
      <c r="C124" s="53"/>
    </row>
    <row r="125" spans="2:21" x14ac:dyDescent="0.25">
      <c r="B125" s="44"/>
      <c r="C125" s="44"/>
      <c r="D125" s="38"/>
      <c r="E125" s="66"/>
      <c r="F125" s="66"/>
      <c r="G125" s="44"/>
      <c r="H125" s="66"/>
      <c r="I125" s="66"/>
    </row>
    <row r="126" spans="2:21" x14ac:dyDescent="0.25">
      <c r="B126" s="46"/>
    </row>
    <row r="127" spans="2:21" x14ac:dyDescent="0.25">
      <c r="B127" s="43"/>
      <c r="E127" s="43"/>
      <c r="F127" s="43"/>
      <c r="H127" s="28"/>
      <c r="I127" s="21"/>
    </row>
    <row r="128" spans="2:21" x14ac:dyDescent="0.25">
      <c r="E128" s="51"/>
      <c r="I128" s="50"/>
    </row>
    <row r="129" spans="2:9" x14ac:dyDescent="0.25">
      <c r="B129" s="50"/>
      <c r="E129" s="51"/>
      <c r="F129" s="50"/>
    </row>
    <row r="130" spans="2:9" x14ac:dyDescent="0.25">
      <c r="B130" s="50"/>
      <c r="E130" s="51"/>
      <c r="F130" s="50"/>
      <c r="I130" s="54"/>
    </row>
    <row r="131" spans="2:9" x14ac:dyDescent="0.25">
      <c r="B131" s="50"/>
      <c r="E131" s="51"/>
      <c r="F131" s="50"/>
      <c r="I131" s="50"/>
    </row>
    <row r="132" spans="2:9" x14ac:dyDescent="0.25">
      <c r="B132" s="50"/>
      <c r="E132" s="51"/>
      <c r="F132" s="50"/>
    </row>
    <row r="133" spans="2:9" x14ac:dyDescent="0.25">
      <c r="B133" s="50"/>
      <c r="E133" s="51"/>
      <c r="F133" s="50"/>
      <c r="I133" s="21"/>
    </row>
    <row r="134" spans="2:9" x14ac:dyDescent="0.25">
      <c r="B134" s="50"/>
      <c r="E134" s="51"/>
      <c r="F134" s="50"/>
    </row>
    <row r="135" spans="2:9" x14ac:dyDescent="0.25">
      <c r="B135" s="50"/>
      <c r="E135" s="51"/>
      <c r="F135" s="50"/>
    </row>
    <row r="136" spans="2:9" x14ac:dyDescent="0.25">
      <c r="B136" s="50"/>
      <c r="E136" s="51"/>
      <c r="F136" s="50"/>
    </row>
    <row r="137" spans="2:9" x14ac:dyDescent="0.25">
      <c r="B137" s="50"/>
      <c r="E137" s="51"/>
      <c r="F137" s="50"/>
    </row>
    <row r="138" spans="2:9" x14ac:dyDescent="0.25">
      <c r="B138" s="50"/>
      <c r="E138" s="51"/>
      <c r="F138" s="50"/>
    </row>
    <row r="139" spans="2:9" x14ac:dyDescent="0.25">
      <c r="B139" s="50"/>
      <c r="E139" s="51"/>
      <c r="F139" s="50"/>
    </row>
    <row r="140" spans="2:9" x14ac:dyDescent="0.25">
      <c r="B140" s="50"/>
      <c r="E140" s="51"/>
      <c r="F140" s="50"/>
    </row>
    <row r="141" spans="2:9" x14ac:dyDescent="0.25">
      <c r="B141" s="50"/>
      <c r="E141" s="51"/>
      <c r="F141" s="50"/>
    </row>
    <row r="142" spans="2:9" x14ac:dyDescent="0.25">
      <c r="B142" s="50"/>
      <c r="E142" s="51"/>
      <c r="F142" s="50"/>
    </row>
    <row r="143" spans="2:9" x14ac:dyDescent="0.25">
      <c r="B143" s="50"/>
      <c r="E143" s="51"/>
      <c r="F143" s="50"/>
    </row>
    <row r="144" spans="2:9" x14ac:dyDescent="0.25">
      <c r="B144" s="50"/>
      <c r="E144" s="51"/>
      <c r="F144" s="50"/>
    </row>
    <row r="145" spans="2:6" x14ac:dyDescent="0.25">
      <c r="B145" s="50"/>
      <c r="E145" s="51"/>
      <c r="F145" s="50"/>
    </row>
    <row r="146" spans="2:6" x14ac:dyDescent="0.25">
      <c r="B146" s="50"/>
      <c r="E146" s="51"/>
      <c r="F146" s="50"/>
    </row>
    <row r="147" spans="2:6" x14ac:dyDescent="0.25">
      <c r="B147" s="50"/>
      <c r="E147" s="51"/>
      <c r="F147" s="50"/>
    </row>
    <row r="148" spans="2:6" x14ac:dyDescent="0.25">
      <c r="B148" s="50"/>
      <c r="E148" s="51"/>
      <c r="F148" s="50"/>
    </row>
    <row r="149" spans="2:6" x14ac:dyDescent="0.25">
      <c r="B149" s="50"/>
      <c r="E149" s="51"/>
      <c r="F149" s="50"/>
    </row>
    <row r="150" spans="2:6" x14ac:dyDescent="0.25">
      <c r="B150" s="50"/>
      <c r="E150" s="51"/>
      <c r="F150" s="50"/>
    </row>
    <row r="151" spans="2:6" x14ac:dyDescent="0.25">
      <c r="B151" s="50"/>
      <c r="E151" s="51"/>
      <c r="F151" s="50"/>
    </row>
    <row r="152" spans="2:6" x14ac:dyDescent="0.25">
      <c r="B152" s="50"/>
      <c r="E152" s="51"/>
      <c r="F152" s="50"/>
    </row>
    <row r="153" spans="2:6" x14ac:dyDescent="0.25">
      <c r="B153" s="50"/>
      <c r="E153" s="51"/>
      <c r="F153" s="50"/>
    </row>
    <row r="154" spans="2:6" x14ac:dyDescent="0.25">
      <c r="B154" s="50"/>
      <c r="E154" s="51"/>
      <c r="F154" s="50"/>
    </row>
    <row r="155" spans="2:6" x14ac:dyDescent="0.25">
      <c r="B155" s="50"/>
      <c r="E155" s="51"/>
      <c r="F155" s="50"/>
    </row>
    <row r="156" spans="2:6" x14ac:dyDescent="0.25">
      <c r="B156" s="50"/>
      <c r="E156" s="51"/>
      <c r="F156" s="50"/>
    </row>
    <row r="157" spans="2:6" x14ac:dyDescent="0.25">
      <c r="B157" s="50"/>
      <c r="E157" s="51"/>
      <c r="F157" s="50"/>
    </row>
    <row r="158" spans="2:6" x14ac:dyDescent="0.25">
      <c r="B158" s="50"/>
      <c r="E158" s="51"/>
      <c r="F158" s="50"/>
    </row>
    <row r="159" spans="2:6" x14ac:dyDescent="0.25">
      <c r="B159" s="50"/>
      <c r="E159" s="51"/>
      <c r="F159" s="50"/>
    </row>
    <row r="160" spans="2:6" x14ac:dyDescent="0.25">
      <c r="B160" s="50"/>
      <c r="E160" s="51"/>
      <c r="F160" s="50"/>
    </row>
    <row r="161" spans="2:6" x14ac:dyDescent="0.25">
      <c r="B161" s="50"/>
      <c r="E161" s="51"/>
      <c r="F161" s="50"/>
    </row>
    <row r="162" spans="2:6" x14ac:dyDescent="0.25">
      <c r="B162" s="50"/>
      <c r="E162" s="51"/>
      <c r="F162" s="50"/>
    </row>
    <row r="163" spans="2:6" x14ac:dyDescent="0.25">
      <c r="B163" s="50"/>
      <c r="E163" s="51"/>
      <c r="F163" s="50"/>
    </row>
    <row r="164" spans="2:6" x14ac:dyDescent="0.25">
      <c r="B164" s="50"/>
      <c r="E164" s="51"/>
      <c r="F164" s="50"/>
    </row>
    <row r="165" spans="2:6" x14ac:dyDescent="0.25">
      <c r="B165" s="50"/>
      <c r="E165" s="51"/>
      <c r="F165" s="50"/>
    </row>
    <row r="166" spans="2:6" x14ac:dyDescent="0.25">
      <c r="B166" s="50"/>
      <c r="E166" s="51"/>
      <c r="F166" s="50"/>
    </row>
    <row r="167" spans="2:6" x14ac:dyDescent="0.25">
      <c r="B167" s="50"/>
      <c r="E167" s="51"/>
      <c r="F167" s="50"/>
    </row>
    <row r="168" spans="2:6" x14ac:dyDescent="0.25">
      <c r="B168" s="50"/>
      <c r="E168" s="51"/>
      <c r="F168" s="50"/>
    </row>
    <row r="169" spans="2:6" x14ac:dyDescent="0.25">
      <c r="B169" s="50"/>
      <c r="E169" s="51"/>
      <c r="F169" s="50"/>
    </row>
    <row r="170" spans="2:6" x14ac:dyDescent="0.25">
      <c r="B170" s="50"/>
      <c r="E170" s="51"/>
      <c r="F170" s="50"/>
    </row>
    <row r="171" spans="2:6" x14ac:dyDescent="0.25">
      <c r="B171" s="50"/>
      <c r="E171" s="51"/>
      <c r="F171" s="50"/>
    </row>
    <row r="172" spans="2:6" x14ac:dyDescent="0.25">
      <c r="B172" s="50"/>
      <c r="E172" s="51"/>
      <c r="F172" s="50"/>
    </row>
    <row r="173" spans="2:6" x14ac:dyDescent="0.25">
      <c r="B173" s="50"/>
      <c r="E173" s="51"/>
      <c r="F173" s="50"/>
    </row>
  </sheetData>
  <mergeCells count="11">
    <mergeCell ref="AA6:AB6"/>
    <mergeCell ref="E125:F125"/>
    <mergeCell ref="H125:I125"/>
    <mergeCell ref="S6:V6"/>
    <mergeCell ref="X6:Y6"/>
    <mergeCell ref="G7:H7"/>
    <mergeCell ref="J7:K7"/>
    <mergeCell ref="B7:E7"/>
    <mergeCell ref="B58:E58"/>
    <mergeCell ref="G58:H58"/>
    <mergeCell ref="J58:K5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38687-D866-4598-85C5-C5336D21FE2B}">
  <dimension ref="B6:G34"/>
  <sheetViews>
    <sheetView showGridLines="0" workbookViewId="0">
      <selection activeCell="I9" sqref="I9"/>
    </sheetView>
  </sheetViews>
  <sheetFormatPr defaultRowHeight="15" x14ac:dyDescent="0.25"/>
  <cols>
    <col min="1" max="1" width="1.85546875" customWidth="1"/>
    <col min="5" max="5" width="14.85546875" bestFit="1" customWidth="1"/>
  </cols>
  <sheetData>
    <row r="6" spans="2:7" x14ac:dyDescent="0.25">
      <c r="B6" s="65" t="s">
        <v>60</v>
      </c>
      <c r="C6" s="65"/>
      <c r="D6" s="65"/>
      <c r="E6" s="66"/>
      <c r="F6" s="66"/>
      <c r="G6" s="66"/>
    </row>
    <row r="8" spans="2:7" x14ac:dyDescent="0.25">
      <c r="B8" s="28" t="s">
        <v>58</v>
      </c>
      <c r="C8" s="7" t="s">
        <v>59</v>
      </c>
    </row>
    <row r="9" spans="2:7" x14ac:dyDescent="0.25">
      <c r="B9" s="28">
        <v>2000</v>
      </c>
      <c r="C9" s="7">
        <v>-0.14649999999999999</v>
      </c>
      <c r="E9" t="s">
        <v>61</v>
      </c>
      <c r="F9" s="5">
        <f>AVERAGE(C9:C34)</f>
        <v>0.1514923076923077</v>
      </c>
    </row>
    <row r="10" spans="2:7" ht="17.25" x14ac:dyDescent="0.25">
      <c r="B10" s="28">
        <v>2001</v>
      </c>
      <c r="C10" s="7">
        <v>-0.1618</v>
      </c>
      <c r="E10" t="s">
        <v>62</v>
      </c>
      <c r="F10" s="5">
        <v>1.3899999999999999E-2</v>
      </c>
    </row>
    <row r="11" spans="2:7" x14ac:dyDescent="0.25">
      <c r="B11" s="28">
        <v>2002</v>
      </c>
      <c r="C11" s="7">
        <v>3.2500000000000001E-2</v>
      </c>
      <c r="E11" t="s">
        <v>63</v>
      </c>
      <c r="F11" s="5">
        <f>SUM(F9:F10)</f>
        <v>0.1653923076923077</v>
      </c>
    </row>
    <row r="12" spans="2:7" x14ac:dyDescent="0.25">
      <c r="B12" s="28">
        <v>2003</v>
      </c>
      <c r="C12" s="7">
        <v>0.71900000000000008</v>
      </c>
    </row>
    <row r="13" spans="2:7" x14ac:dyDescent="0.25">
      <c r="B13" s="28">
        <v>2004</v>
      </c>
      <c r="C13" s="7">
        <v>0.10679999999999999</v>
      </c>
    </row>
    <row r="14" spans="2:7" x14ac:dyDescent="0.25">
      <c r="B14" s="28">
        <v>2005</v>
      </c>
      <c r="C14" s="7">
        <v>0.36340000000000006</v>
      </c>
    </row>
    <row r="15" spans="2:7" x14ac:dyDescent="0.25">
      <c r="B15" s="28">
        <v>2006</v>
      </c>
      <c r="C15" s="7">
        <v>0.39829999999999999</v>
      </c>
    </row>
    <row r="16" spans="2:7" x14ac:dyDescent="0.25">
      <c r="B16" s="28">
        <v>2007</v>
      </c>
      <c r="C16" s="7">
        <v>0.54770000000000008</v>
      </c>
    </row>
    <row r="17" spans="2:3" x14ac:dyDescent="0.25">
      <c r="B17" s="28">
        <v>2008</v>
      </c>
      <c r="C17" s="7">
        <v>-0.51790000000000003</v>
      </c>
    </row>
    <row r="18" spans="2:3" x14ac:dyDescent="0.25">
      <c r="B18" s="28">
        <v>2009</v>
      </c>
      <c r="C18" s="7">
        <v>0.75760000000000005</v>
      </c>
    </row>
    <row r="19" spans="2:3" x14ac:dyDescent="0.25">
      <c r="B19" s="28">
        <v>2010</v>
      </c>
      <c r="C19" s="7">
        <v>0.17949999999999999</v>
      </c>
    </row>
    <row r="20" spans="2:3" x14ac:dyDescent="0.25">
      <c r="B20" s="28">
        <v>2011</v>
      </c>
      <c r="C20" s="7">
        <v>-0.2462</v>
      </c>
    </row>
    <row r="21" spans="2:3" x14ac:dyDescent="0.25">
      <c r="B21" s="28">
        <v>2012</v>
      </c>
      <c r="C21" s="7">
        <v>0.27699999999999997</v>
      </c>
    </row>
    <row r="22" spans="2:3" x14ac:dyDescent="0.25">
      <c r="B22" s="28">
        <v>2013</v>
      </c>
      <c r="C22" s="7">
        <v>6.7599999999999993E-2</v>
      </c>
    </row>
    <row r="23" spans="2:3" x14ac:dyDescent="0.25">
      <c r="B23" s="28">
        <v>2014</v>
      </c>
      <c r="C23" s="7">
        <v>0.31390000000000001</v>
      </c>
    </row>
    <row r="24" spans="2:3" x14ac:dyDescent="0.25">
      <c r="B24" s="28">
        <v>2015</v>
      </c>
      <c r="C24" s="7">
        <v>-4.0599999999999997E-2</v>
      </c>
    </row>
    <row r="25" spans="2:3" x14ac:dyDescent="0.25">
      <c r="B25" s="28">
        <v>2016</v>
      </c>
      <c r="C25" s="7">
        <v>3.0099999999999998E-2</v>
      </c>
    </row>
    <row r="26" spans="2:3" x14ac:dyDescent="0.25">
      <c r="B26" s="28">
        <v>2017</v>
      </c>
      <c r="C26" s="7">
        <v>0.28649999999999998</v>
      </c>
    </row>
    <row r="27" spans="2:3" x14ac:dyDescent="0.25">
      <c r="B27" s="28">
        <v>2018</v>
      </c>
      <c r="C27" s="7">
        <v>3.15E-2</v>
      </c>
    </row>
    <row r="28" spans="2:3" x14ac:dyDescent="0.25">
      <c r="B28" s="28">
        <v>2019</v>
      </c>
      <c r="C28" s="7">
        <v>0.1202</v>
      </c>
    </row>
    <row r="29" spans="2:3" x14ac:dyDescent="0.25">
      <c r="B29" s="28">
        <v>2020</v>
      </c>
      <c r="C29" s="7">
        <v>0.14899999999999999</v>
      </c>
    </row>
    <row r="30" spans="2:3" x14ac:dyDescent="0.25">
      <c r="B30" s="28">
        <v>2021</v>
      </c>
      <c r="C30" s="7">
        <v>0.2412</v>
      </c>
    </row>
    <row r="31" spans="2:3" x14ac:dyDescent="0.25">
      <c r="B31" s="28">
        <v>2022</v>
      </c>
      <c r="C31" s="7">
        <v>4.3200000000000002E-2</v>
      </c>
    </row>
    <row r="32" spans="2:3" x14ac:dyDescent="0.25">
      <c r="B32" s="28">
        <v>2023</v>
      </c>
      <c r="C32" s="7">
        <v>0.19420000000000001</v>
      </c>
    </row>
    <row r="33" spans="2:3" x14ac:dyDescent="0.25">
      <c r="B33" s="28">
        <v>2024</v>
      </c>
      <c r="C33" s="7">
        <v>8.7499999999999994E-2</v>
      </c>
    </row>
    <row r="34" spans="2:3" x14ac:dyDescent="0.25">
      <c r="B34" s="28">
        <v>2025</v>
      </c>
      <c r="C34" s="7">
        <v>0.1051</v>
      </c>
    </row>
  </sheetData>
  <mergeCells count="2">
    <mergeCell ref="B6:D6"/>
    <mergeCell ref="E6:G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DCF&gt;</vt:lpstr>
      <vt:lpstr>WACC</vt:lpstr>
      <vt:lpstr>Data&gt;</vt:lpstr>
      <vt:lpstr>Beta - Regression</vt:lpstr>
      <vt:lpstr>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Mittal</dc:creator>
  <cp:lastModifiedBy>Harsh Mittal</cp:lastModifiedBy>
  <cp:lastPrinted>2026-01-29T22:04:50Z</cp:lastPrinted>
  <dcterms:created xsi:type="dcterms:W3CDTF">2026-01-28T17:04:02Z</dcterms:created>
  <dcterms:modified xsi:type="dcterms:W3CDTF">2026-02-04T20:38:21Z</dcterms:modified>
</cp:coreProperties>
</file>